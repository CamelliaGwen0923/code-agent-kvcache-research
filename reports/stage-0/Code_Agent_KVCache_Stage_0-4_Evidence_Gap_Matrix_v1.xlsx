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6.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bf1d49affc1429b" /></Relationships>
</file>

<file path=xl/workbook.xml><?xml version="1.0" encoding="utf-8"?>
<x:workbook xmlns:x="http://schemas.openxmlformats.org/spreadsheetml/2006/main">
  <x:sheets>
    <x:sheet xmlns:r="http://schemas.openxmlformats.org/officeDocument/2006/relationships" name="阶段摘要" sheetId="1" r:id="R146abd5e185348b9"/>
    <x:sheet xmlns:r="http://schemas.openxmlformats.org/officeDocument/2006/relationships" name="证据矩阵" sheetId="2" r:id="Rd9865d8b853b4bf1"/>
    <x:sheet xmlns:r="http://schemas.openxmlformats.org/officeDocument/2006/relationships" name="研究空白" sheetId="3" r:id="R58158385731f422b"/>
    <x:sheet xmlns:r="http://schemas.openxmlformats.org/officeDocument/2006/relationships" name="候选路线" sheetId="4" r:id="Rd4c359430e624d1b"/>
    <x:sheet xmlns:r="http://schemas.openxmlformats.org/officeDocument/2006/relationships" name="研究问题" sheetId="5" r:id="R922de72dee124dac"/>
    <x:sheet xmlns:r="http://schemas.openxmlformats.org/officeDocument/2006/relationships" name="补充文献" sheetId="6" r:id="R31d054b179d6441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28">
    <x:font>
      <x:sz val="11"/>
      <x:name val="Carlito"/>
    </x:font>
    <x:font>
      <x:b/>
      <x:sz val="18"/>
      <x:color rgb="FFFFFFFF"/>
      <x:name val="Carlito"/>
    </x:font>
    <x:font>
      <x:b/>
      <x:sz val="11"/>
      <x:color rgb="FF17365D"/>
      <x:name val="Carlito"/>
    </x:font>
    <x:font>
      <x:b/>
      <x:sz val="10"/>
      <x:color rgb="FF17365D"/>
      <x:name val="Carlito"/>
    </x:font>
    <x:font>
      <x:b/>
      <x:sz val="20"/>
      <x:color rgb="FF2E74B5"/>
      <x:name val="Carlito"/>
    </x:font>
    <x:font>
      <x:b/>
      <x:sz val="12"/>
      <x:color rgb="FF17365D"/>
      <x:name val="Carlito"/>
    </x:font>
    <x:font>
      <x:b/>
      <x:sz val="11"/>
      <x:color rgb="FF7F6000"/>
      <x:name val="Carlito"/>
    </x:font>
    <x:font>
      <x:b/>
      <x:sz val="11"/>
      <x:color rgb="FF375623"/>
      <x:name val="Carlito"/>
    </x:font>
    <x:font>
      <x:b/>
      <x:sz val="10"/>
      <x:color rgb="FFFFFFFF"/>
      <x:name val="Carlito"/>
    </x:font>
    <x:font>
      <x:sz val="9"/>
      <x:color rgb="FF1F2937"/>
      <x:name val="Carlito"/>
    </x:font>
    <x:font>
      <x:b/>
      <x:sz val="9"/>
      <x:color rgb="FF2E74B5"/>
      <x:name val="Carlito"/>
    </x:font>
    <x:font>
      <x:i/>
      <x:sz val="9"/>
      <x:color rgb="FF666666"/>
      <x:name val="Carlito"/>
    </x:font>
    <x:font>
      <x:sz val="8"/>
      <x:color rgb="FF0563C1"/>
      <x:name val="Carlito"/>
    </x:font>
    <x:font>
      <x:b/>
      <x:sz val="11"/>
      <x:color rgb="FF666666"/>
      <x:name val="Carlito"/>
    </x:font>
    <x:font>
      <x:b/>
      <x:sz val="18"/>
      <x:color rgb="FFFFFFFF"/>
      <x:name val="Microsoft YaHei"/>
    </x:font>
    <x:font>
      <x:b/>
      <x:sz val="11"/>
      <x:color rgb="FF17365D"/>
      <x:name val="Microsoft YaHei"/>
    </x:font>
    <x:font>
      <x:sz val="11"/>
      <x:name val="Microsoft YaHei"/>
    </x:font>
    <x:font>
      <x:b/>
      <x:sz val="10"/>
      <x:color rgb="FF17365D"/>
      <x:name val="Microsoft YaHei"/>
    </x:font>
    <x:font>
      <x:b/>
      <x:sz val="20"/>
      <x:color rgb="FF2E74B5"/>
      <x:name val="Microsoft YaHei"/>
    </x:font>
    <x:font>
      <x:b/>
      <x:sz val="12"/>
      <x:color rgb="FF17365D"/>
      <x:name val="Microsoft YaHei"/>
    </x:font>
    <x:font>
      <x:b/>
      <x:sz val="11"/>
      <x:color rgb="FF7F6000"/>
      <x:name val="Microsoft YaHei"/>
    </x:font>
    <x:font>
      <x:b/>
      <x:sz val="11"/>
      <x:color rgb="FF375623"/>
      <x:name val="Microsoft YaHei"/>
    </x:font>
    <x:font>
      <x:b/>
      <x:sz val="10"/>
      <x:color rgb="FFFFFFFF"/>
      <x:name val="Microsoft YaHei"/>
    </x:font>
    <x:font>
      <x:sz val="9"/>
      <x:color rgb="FF1F2937"/>
      <x:name val="Microsoft YaHei"/>
    </x:font>
    <x:font>
      <x:b/>
      <x:sz val="9"/>
      <x:color rgb="FF2E74B5"/>
      <x:name val="Microsoft YaHei"/>
    </x:font>
    <x:font>
      <x:i/>
      <x:sz val="9"/>
      <x:color rgb="FF666666"/>
      <x:name val="Microsoft YaHei"/>
    </x:font>
    <x:font>
      <x:sz val="8"/>
      <x:color rgb="FF0563C1"/>
      <x:name val="Microsoft YaHei"/>
    </x:font>
    <x:font>
      <x:b/>
      <x:sz val="11"/>
      <x:color rgb="FF666666"/>
      <x:name val="Microsoft YaHei"/>
    </x:font>
  </x:fonts>
  <x:fills count="8">
    <x:fill>
      <x:patternFill patternType="none"/>
    </x:fill>
    <x:fill>
      <x:patternFill patternType="gray125"/>
    </x:fill>
    <x:fill>
      <x:patternFill patternType="solid">
        <x:fgColor rgb="FF17365D"/>
      </x:patternFill>
    </x:fill>
    <x:fill>
      <x:patternFill patternType="solid">
        <x:fgColor rgb="FFEEF5FB"/>
      </x:patternFill>
    </x:fill>
    <x:fill>
      <x:patternFill patternType="solid">
        <x:fgColor rgb="FFF2F4F7"/>
      </x:patternFill>
    </x:fill>
    <x:fill>
      <x:patternFill patternType="solid">
        <x:fgColor rgb="FFD9EAF7"/>
      </x:patternFill>
    </x:fill>
    <x:fill>
      <x:patternFill patternType="solid">
        <x:fgColor rgb="FFFFF2CC"/>
      </x:patternFill>
    </x:fill>
    <x:fill>
      <x:patternFill patternType="solid">
        <x:fgColor rgb="FFE2F0D9"/>
      </x:patternFill>
    </x:fill>
  </x:fills>
  <x:borders count="29">
    <x:border/>
    <x:border>
      <x:left style="thin">
        <x:color rgb="FFD9E1F2"/>
      </x:left>
      <x:top style="thin">
        <x:color rgb="FFD9E1F2"/>
      </x:top>
    </x:border>
    <x:border>
      <x:top style="thin">
        <x:color rgb="FFD9E1F2"/>
      </x:top>
    </x:border>
    <x:border>
      <x:right style="thin">
        <x:color rgb="FFD9E1F2"/>
      </x:right>
      <x:top style="thin">
        <x:color rgb="FFD9E1F2"/>
      </x:top>
    </x:border>
    <x:border>
      <x:left style="thin">
        <x:color rgb="FFD9E1F2"/>
      </x:left>
      <x:bottom style="thin">
        <x:color rgb="FFD9E1F2"/>
      </x:bottom>
    </x:border>
    <x:border>
      <x:bottom style="thin">
        <x:color rgb="FFD9E1F2"/>
      </x:bottom>
    </x:border>
    <x:border>
      <x:right style="thin">
        <x:color rgb="FFD9E1F2"/>
      </x:right>
      <x:bottom style="thin">
        <x:color rgb="FFD9E1F2"/>
      </x:bottom>
    </x:border>
    <x:border>
      <x:left style="thin">
        <x:color rgb="FFE6B800"/>
      </x:left>
      <x:top style="thin">
        <x:color rgb="FFE6B800"/>
      </x:top>
    </x:border>
    <x:border>
      <x:top style="thin">
        <x:color rgb="FFE6B800"/>
      </x:top>
    </x:border>
    <x:border>
      <x:right style="thin">
        <x:color rgb="FFE6B800"/>
      </x:right>
      <x:top style="thin">
        <x:color rgb="FFE6B800"/>
      </x:top>
    </x:border>
    <x:border>
      <x:left style="thin">
        <x:color rgb="FFE6B800"/>
      </x:left>
    </x:border>
    <x:border>
      <x:right style="thin">
        <x:color rgb="FFE6B800"/>
      </x:right>
    </x:border>
    <x:border>
      <x:left style="thin">
        <x:color rgb="FFE6B800"/>
      </x:left>
      <x:bottom style="thin">
        <x:color rgb="FFE6B800"/>
      </x:bottom>
    </x:border>
    <x:border>
      <x:bottom style="thin">
        <x:color rgb="FFE6B800"/>
      </x:bottom>
    </x:border>
    <x:border>
      <x:right style="thin">
        <x:color rgb="FFE6B800"/>
      </x:right>
      <x:bottom style="thin">
        <x:color rgb="FFE6B800"/>
      </x:bottom>
    </x:border>
    <x:border>
      <x:left style="thin">
        <x:color rgb="FFA9D18E"/>
      </x:left>
      <x:top style="thin">
        <x:color rgb="FFA9D18E"/>
      </x:top>
    </x:border>
    <x:border>
      <x:top style="thin">
        <x:color rgb="FFA9D18E"/>
      </x:top>
    </x:border>
    <x:border>
      <x:right style="thin">
        <x:color rgb="FFA9D18E"/>
      </x:right>
      <x:top style="thin">
        <x:color rgb="FFA9D18E"/>
      </x:top>
    </x:border>
    <x:border>
      <x:left style="thin">
        <x:color rgb="FFA9D18E"/>
      </x:left>
    </x:border>
    <x:border>
      <x:right style="thin">
        <x:color rgb="FFA9D18E"/>
      </x:right>
    </x:border>
    <x:border>
      <x:left style="thin">
        <x:color rgb="FFA9D18E"/>
      </x:left>
      <x:bottom style="thin">
        <x:color rgb="FFA9D18E"/>
      </x:bottom>
    </x:border>
    <x:border>
      <x:bottom style="thin">
        <x:color rgb="FFA9D18E"/>
      </x:bottom>
    </x:border>
    <x:border>
      <x:right style="thin">
        <x:color rgb="FFA9D18E"/>
      </x:right>
      <x:bottom style="thin">
        <x:color rgb="FFA9D18E"/>
      </x:bottom>
    </x:border>
    <x:border>
      <x:right style="thin">
        <x:color rgb="FFD9E1F2"/>
      </x:right>
    </x:border>
    <x:border>
      <x:left style="thin">
        <x:color rgb="FFD9E1F2"/>
      </x:left>
    </x:border>
    <x:border>
      <x:bottom style="thin">
        <x:color rgb="FFE7ECF3"/>
      </x:bottom>
    </x:border>
    <x:border>
      <x:top style="thin">
        <x:color rgb="FFE7ECF3"/>
      </x:top>
      <x:bottom style="thin">
        <x:color rgb="FFE7ECF3"/>
      </x:bottom>
    </x:border>
    <x:border>
      <x:top style="thin">
        <x:color rgb="FFE7ECF3"/>
      </x:top>
    </x:border>
    <x:border>
      <x:left style="thin">
        <x:color rgb="FFD9E1F2"/>
      </x:left>
      <x:right style="thin">
        <x:color rgb="FFD9E1F2"/>
      </x:right>
    </x:border>
  </x:borders>
  <x:cellStyleXfs count="1">
    <x:xf numFmtId="0" fontId="0" fillId="0" borderId="0"/>
  </x:cellStyleXfs>
  <x:cellXfs count="2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1" xfId="0" applyNumberFormat="1" applyFont="1" applyFill="1" applyBorder="1" applyAlignment="1">
      <x:alignment horizontal="center"/>
    </x:xf>
    <x:xf numFmtId="0" fontId="4" fillId="3" borderId="2" xfId="0" applyNumberFormat="1" applyFont="1" applyFill="1" applyBorder="1" applyAlignment="1">
      <x:alignment horizontal="center"/>
    </x:xf>
    <x:xf numFmtId="0" fontId="4" fillId="3" borderId="3" xfId="0" applyNumberFormat="1" applyFont="1" applyFill="1" applyBorder="1" applyAlignment="1">
      <x:alignment horizontal="center"/>
    </x:xf>
    <x:xf numFmtId="0" fontId="4" fillId="3" borderId="4" xfId="0" applyNumberFormat="1" applyFont="1" applyFill="1" applyBorder="1" applyAlignment="1">
      <x:alignment horizontal="center"/>
    </x:xf>
    <x:xf numFmtId="0" fontId="4" fillId="3" borderId="5" xfId="0" applyNumberFormat="1" applyFont="1" applyFill="1" applyBorder="1" applyAlignment="1">
      <x:alignment horizontal="center"/>
    </x:xf>
    <x:xf numFmtId="0" fontId="4" fillId="3" borderId="6" xfId="0" applyNumberFormat="1" applyFont="1" applyFill="1" applyBorder="1" applyAlignment="1">
      <x:alignment horizontal="center"/>
    </x:xf>
    <x:xf numFmtId="0" fontId="4" fillId="3" borderId="1" xfId="0" applyNumberFormat="1" applyFont="1" applyFill="1" applyBorder="1" applyAlignment="1">
      <x:alignment horizontal="center" vertical="center"/>
    </x:xf>
    <x:xf numFmtId="0" fontId="4" fillId="3" borderId="2" xfId="0" applyNumberFormat="1" applyFont="1" applyFill="1" applyBorder="1" applyAlignment="1">
      <x:alignment horizontal="center" vertical="center"/>
    </x:xf>
    <x:xf numFmtId="0" fontId="4" fillId="3" borderId="3" xfId="0" applyNumberFormat="1" applyFont="1" applyFill="1" applyBorder="1" applyAlignment="1">
      <x:alignment horizontal="center" vertical="center"/>
    </x:xf>
    <x:xf numFmtId="0" fontId="4" fillId="3" borderId="4" xfId="0" applyNumberFormat="1" applyFont="1" applyFill="1" applyBorder="1" applyAlignment="1">
      <x:alignment horizontal="center" vertical="center"/>
    </x:xf>
    <x:xf numFmtId="0" fontId="4" fillId="3" borderId="5" xfId="0" applyNumberFormat="1" applyFont="1" applyFill="1" applyBorder="1" applyAlignment="1">
      <x:alignment horizontal="center" vertical="center"/>
    </x:xf>
    <x:xf numFmtId="0" fontId="4" fillId="3" borderId="6"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0" fillId="6" borderId="0" xfId="0" applyNumberFormat="1" applyFont="1" applyFill="1" applyBorder="1"/>
    <x:xf numFmtId="0" fontId="6" fillId="6" borderId="0" xfId="0" applyNumberFormat="1" applyFont="1" applyFill="1" applyBorder="1"/>
    <x:xf numFmtId="0" fontId="6" fillId="6" borderId="7" xfId="0" applyNumberFormat="1" applyFont="1" applyFill="1" applyBorder="1"/>
    <x:xf numFmtId="0" fontId="6" fillId="6" borderId="8" xfId="0" applyNumberFormat="1" applyFont="1" applyFill="1" applyBorder="1"/>
    <x:xf numFmtId="0" fontId="6" fillId="6" borderId="9" xfId="0" applyNumberFormat="1" applyFont="1" applyFill="1" applyBorder="1"/>
    <x:xf numFmtId="0" fontId="6" fillId="6" borderId="10" xfId="0" applyNumberFormat="1" applyFont="1" applyFill="1" applyBorder="1"/>
    <x:xf numFmtId="0" fontId="6" fillId="6" borderId="11" xfId="0" applyNumberFormat="1" applyFont="1" applyFill="1" applyBorder="1"/>
    <x:xf numFmtId="0" fontId="6" fillId="6" borderId="12" xfId="0" applyNumberFormat="1" applyFont="1" applyFill="1" applyBorder="1"/>
    <x:xf numFmtId="0" fontId="6" fillId="6" borderId="13" xfId="0" applyNumberFormat="1" applyFont="1" applyFill="1" applyBorder="1"/>
    <x:xf numFmtId="0" fontId="6" fillId="6" borderId="14" xfId="0" applyNumberFormat="1" applyFont="1" applyFill="1" applyBorder="1"/>
    <x:xf numFmtId="0" fontId="6" fillId="6" borderId="7" xfId="0" applyNumberFormat="1" applyFont="1" applyFill="1" applyBorder="1" applyAlignment="1">
      <x:alignment wrapText="1"/>
    </x:xf>
    <x:xf numFmtId="0" fontId="6" fillId="6" borderId="8" xfId="0" applyNumberFormat="1" applyFont="1" applyFill="1" applyBorder="1" applyAlignment="1">
      <x:alignment wrapText="1"/>
    </x:xf>
    <x:xf numFmtId="0" fontId="6" fillId="6" borderId="9" xfId="0" applyNumberFormat="1" applyFont="1" applyFill="1" applyBorder="1" applyAlignment="1">
      <x:alignment wrapText="1"/>
    </x:xf>
    <x:xf numFmtId="0" fontId="6" fillId="6" borderId="10"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11" xfId="0" applyNumberFormat="1" applyFont="1" applyFill="1" applyBorder="1" applyAlignment="1">
      <x:alignment wrapText="1"/>
    </x:xf>
    <x:xf numFmtId="0" fontId="6" fillId="6" borderId="12" xfId="0" applyNumberFormat="1" applyFont="1" applyFill="1" applyBorder="1" applyAlignment="1">
      <x:alignment wrapText="1"/>
    </x:xf>
    <x:xf numFmtId="0" fontId="6" fillId="6" borderId="13" xfId="0" applyNumberFormat="1" applyFont="1" applyFill="1" applyBorder="1" applyAlignment="1">
      <x:alignment wrapText="1"/>
    </x:xf>
    <x:xf numFmtId="0" fontId="6" fillId="6" borderId="14" xfId="0" applyNumberFormat="1" applyFont="1" applyFill="1" applyBorder="1" applyAlignment="1">
      <x:alignment wrapText="1"/>
    </x:xf>
    <x:xf numFmtId="0" fontId="6" fillId="6" borderId="7" xfId="0" applyNumberFormat="1" applyFont="1" applyFill="1" applyBorder="1" applyAlignment="1">
      <x:alignment vertical="center" wrapText="1"/>
    </x:xf>
    <x:xf numFmtId="0" fontId="6" fillId="6" borderId="8" xfId="0" applyNumberFormat="1" applyFont="1" applyFill="1" applyBorder="1" applyAlignment="1">
      <x:alignment vertical="center" wrapText="1"/>
    </x:xf>
    <x:xf numFmtId="0" fontId="6" fillId="6" borderId="9" xfId="0" applyNumberFormat="1" applyFont="1" applyFill="1" applyBorder="1" applyAlignment="1">
      <x:alignment vertical="center" wrapText="1"/>
    </x:xf>
    <x:xf numFmtId="0" fontId="6" fillId="6" borderId="10"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6" fillId="6" borderId="11" xfId="0" applyNumberFormat="1" applyFont="1" applyFill="1" applyBorder="1" applyAlignment="1">
      <x:alignment vertical="center" wrapText="1"/>
    </x:xf>
    <x:xf numFmtId="0" fontId="6" fillId="6" borderId="12" xfId="0" applyNumberFormat="1" applyFont="1" applyFill="1" applyBorder="1" applyAlignment="1">
      <x:alignment vertical="center" wrapText="1"/>
    </x:xf>
    <x:xf numFmtId="0" fontId="6" fillId="6" borderId="13" xfId="0" applyNumberFormat="1" applyFont="1" applyFill="1" applyBorder="1" applyAlignment="1">
      <x:alignment vertical="center" wrapText="1"/>
    </x:xf>
    <x:xf numFmtId="0" fontId="6" fillId="6" borderId="14" xfId="0" applyNumberFormat="1" applyFont="1" applyFill="1" applyBorder="1" applyAlignment="1">
      <x:alignment vertical="center" wrapText="1"/>
    </x:xf>
    <x:xf numFmtId="0" fontId="0" fillId="7" borderId="0" xfId="0" applyNumberFormat="1" applyFont="1" applyFill="1" applyBorder="1"/>
    <x:xf numFmtId="0" fontId="7" fillId="7" borderId="0" xfId="0" applyNumberFormat="1" applyFont="1" applyFill="1" applyBorder="1"/>
    <x:xf numFmtId="0" fontId="7" fillId="7" borderId="15" xfId="0" applyNumberFormat="1" applyFont="1" applyFill="1" applyBorder="1"/>
    <x:xf numFmtId="0" fontId="7" fillId="7" borderId="16" xfId="0" applyNumberFormat="1" applyFont="1" applyFill="1" applyBorder="1"/>
    <x:xf numFmtId="0" fontId="7" fillId="7" borderId="17" xfId="0" applyNumberFormat="1" applyFont="1" applyFill="1" applyBorder="1"/>
    <x:xf numFmtId="0" fontId="7" fillId="7" borderId="18" xfId="0" applyNumberFormat="1" applyFont="1" applyFill="1" applyBorder="1"/>
    <x:xf numFmtId="0" fontId="7" fillId="7" borderId="19" xfId="0" applyNumberFormat="1" applyFont="1" applyFill="1" applyBorder="1"/>
    <x:xf numFmtId="0" fontId="7" fillId="7" borderId="20" xfId="0" applyNumberFormat="1" applyFont="1" applyFill="1" applyBorder="1"/>
    <x:xf numFmtId="0" fontId="7" fillId="7" borderId="21" xfId="0" applyNumberFormat="1" applyFont="1" applyFill="1" applyBorder="1"/>
    <x:xf numFmtId="0" fontId="7" fillId="7" borderId="22" xfId="0" applyNumberFormat="1" applyFont="1" applyFill="1" applyBorder="1"/>
    <x:xf numFmtId="0" fontId="7" fillId="7" borderId="15" xfId="0" applyNumberFormat="1" applyFont="1" applyFill="1" applyBorder="1" applyAlignment="1">
      <x:alignment wrapText="1"/>
    </x:xf>
    <x:xf numFmtId="0" fontId="7" fillId="7" borderId="16" xfId="0" applyNumberFormat="1" applyFont="1" applyFill="1" applyBorder="1" applyAlignment="1">
      <x:alignment wrapText="1"/>
    </x:xf>
    <x:xf numFmtId="0" fontId="7" fillId="7" borderId="17" xfId="0" applyNumberFormat="1" applyFont="1" applyFill="1" applyBorder="1" applyAlignment="1">
      <x:alignment wrapText="1"/>
    </x:xf>
    <x:xf numFmtId="0" fontId="7" fillId="7" borderId="18" xfId="0" applyNumberFormat="1" applyFont="1" applyFill="1" applyBorder="1" applyAlignment="1">
      <x:alignment wrapText="1"/>
    </x:xf>
    <x:xf numFmtId="0" fontId="7" fillId="7" borderId="0" xfId="0" applyNumberFormat="1" applyFont="1" applyFill="1" applyBorder="1" applyAlignment="1">
      <x:alignment wrapText="1"/>
    </x:xf>
    <x:xf numFmtId="0" fontId="7" fillId="7" borderId="19" xfId="0" applyNumberFormat="1" applyFont="1" applyFill="1" applyBorder="1" applyAlignment="1">
      <x:alignment wrapText="1"/>
    </x:xf>
    <x:xf numFmtId="0" fontId="7" fillId="7" borderId="20" xfId="0" applyNumberFormat="1" applyFont="1" applyFill="1" applyBorder="1" applyAlignment="1">
      <x:alignment wrapText="1"/>
    </x:xf>
    <x:xf numFmtId="0" fontId="7" fillId="7" borderId="21" xfId="0" applyNumberFormat="1" applyFont="1" applyFill="1" applyBorder="1" applyAlignment="1">
      <x:alignment wrapText="1"/>
    </x:xf>
    <x:xf numFmtId="0" fontId="7" fillId="7" borderId="22" xfId="0" applyNumberFormat="1" applyFont="1" applyFill="1" applyBorder="1" applyAlignment="1">
      <x:alignment wrapText="1"/>
    </x:xf>
    <x:xf numFmtId="0" fontId="7" fillId="7" borderId="15" xfId="0" applyNumberFormat="1" applyFont="1" applyFill="1" applyBorder="1" applyAlignment="1">
      <x:alignment vertical="center" wrapText="1"/>
    </x:xf>
    <x:xf numFmtId="0" fontId="7" fillId="7" borderId="16" xfId="0" applyNumberFormat="1" applyFont="1" applyFill="1" applyBorder="1" applyAlignment="1">
      <x:alignment vertical="center" wrapText="1"/>
    </x:xf>
    <x:xf numFmtId="0" fontId="7" fillId="7" borderId="17" xfId="0" applyNumberFormat="1" applyFont="1" applyFill="1" applyBorder="1" applyAlignment="1">
      <x:alignment vertical="center" wrapText="1"/>
    </x:xf>
    <x:xf numFmtId="0" fontId="7" fillId="7" borderId="18" xfId="0" applyNumberFormat="1" applyFont="1" applyFill="1" applyBorder="1" applyAlignment="1">
      <x:alignment vertical="center" wrapText="1"/>
    </x:xf>
    <x:xf numFmtId="0" fontId="7" fillId="7" borderId="0" xfId="0" applyNumberFormat="1" applyFont="1" applyFill="1" applyBorder="1" applyAlignment="1">
      <x:alignment vertical="center" wrapText="1"/>
    </x:xf>
    <x:xf numFmtId="0" fontId="7" fillId="7" borderId="19" xfId="0" applyNumberFormat="1" applyFont="1" applyFill="1" applyBorder="1" applyAlignment="1">
      <x:alignment vertical="center" wrapText="1"/>
    </x:xf>
    <x:xf numFmtId="0" fontId="7" fillId="7" borderId="20" xfId="0" applyNumberFormat="1" applyFont="1" applyFill="1" applyBorder="1" applyAlignment="1">
      <x:alignment vertical="center" wrapText="1"/>
    </x:xf>
    <x:xf numFmtId="0" fontId="7" fillId="7" borderId="21" xfId="0" applyNumberFormat="1" applyFont="1" applyFill="1" applyBorder="1" applyAlignment="1">
      <x:alignment vertical="center" wrapText="1"/>
    </x:xf>
    <x:xf numFmtId="0" fontId="7" fillId="7" borderId="22" xfId="0" applyNumberFormat="1" applyFont="1" applyFill="1" applyBorder="1" applyAlignment="1">
      <x:alignment vertical="center" wrapText="1"/>
    </x:xf>
    <x:xf numFmtId="0" fontId="8" fillId="2" borderId="0" xfId="0" applyNumberFormat="1" applyFont="1" applyFill="1" applyBorder="1"/>
    <x:xf numFmtId="0" fontId="8" fillId="2" borderId="23" xfId="0" applyNumberFormat="1" applyFont="1" applyFill="1" applyBorder="1"/>
    <x:xf numFmtId="0" fontId="8" fillId="2" borderId="24" xfId="0" applyNumberFormat="1" applyFont="1" applyFill="1" applyBorder="1"/>
    <x:xf numFmtId="0" fontId="8" fillId="2" borderId="23" xfId="0" applyNumberFormat="1" applyFont="1" applyFill="1" applyBorder="1" applyAlignment="1">
      <x:alignment wrapText="1"/>
    </x:xf>
    <x:xf numFmtId="0" fontId="8" fillId="2" borderId="24" xfId="0" applyNumberFormat="1" applyFont="1" applyFill="1" applyBorder="1" applyAlignment="1">
      <x:alignment wrapText="1"/>
    </x:xf>
    <x:xf numFmtId="0" fontId="8" fillId="2" borderId="23" xfId="0" applyNumberFormat="1" applyFont="1" applyFill="1" applyBorder="1" applyAlignment="1">
      <x:alignment horizontal="center" wrapText="1"/>
    </x:xf>
    <x:xf numFmtId="0" fontId="8" fillId="2" borderId="24" xfId="0" applyNumberFormat="1" applyFont="1" applyFill="1" applyBorder="1" applyAlignment="1">
      <x:alignment horizontal="center" wrapText="1"/>
    </x:xf>
    <x:xf numFmtId="0" fontId="8" fillId="2" borderId="23" xfId="0" applyNumberFormat="1" applyFont="1" applyFill="1" applyBorder="1" applyAlignment="1">
      <x:alignment horizontal="center" vertical="center" wrapText="1"/>
    </x:xf>
    <x:xf numFmtId="0" fontId="8" fillId="2" borderId="24" xfId="0" applyNumberFormat="1" applyFont="1" applyFill="1" applyBorder="1" applyAlignment="1">
      <x:alignment horizontal="center" vertical="center" wrapText="1"/>
    </x:xf>
    <x:xf numFmtId="0" fontId="9" fillId="0" borderId="0" xfId="0" applyNumberFormat="1" applyFont="1" applyFill="1" applyBorder="1"/>
    <x:xf numFmtId="0" fontId="9" fillId="0" borderId="25" xfId="0" applyNumberFormat="1" applyFont="1" applyFill="1" applyBorder="1"/>
    <x:xf numFmtId="0" fontId="9" fillId="0" borderId="26" xfId="0" applyNumberFormat="1" applyFont="1" applyFill="1" applyBorder="1"/>
    <x:xf numFmtId="0" fontId="9" fillId="0" borderId="25" xfId="0" applyNumberFormat="1" applyFont="1" applyFill="1" applyBorder="1" applyAlignment="1">
      <x:alignment wrapText="1"/>
    </x:xf>
    <x:xf numFmtId="0" fontId="9" fillId="0" borderId="26" xfId="0" applyNumberFormat="1" applyFont="1" applyFill="1" applyBorder="1" applyAlignment="1">
      <x:alignment wrapText="1"/>
    </x:xf>
    <x:xf numFmtId="0" fontId="9" fillId="0" borderId="25" xfId="0" applyNumberFormat="1" applyFont="1" applyFill="1" applyBorder="1" applyAlignment="1">
      <x:alignment vertical="top" wrapText="1"/>
    </x:xf>
    <x:xf numFmtId="0" fontId="9" fillId="0" borderId="26" xfId="0" applyNumberFormat="1" applyFont="1" applyFill="1" applyBorder="1" applyAlignment="1">
      <x:alignment vertical="top" wrapText="1"/>
    </x:xf>
    <x:xf numFmtId="200" fontId="9" fillId="0" borderId="25" xfId="0" applyNumberFormat="1" applyFont="1" applyFill="1" applyBorder="1" applyAlignment="1">
      <x:alignment vertical="top" wrapText="1"/>
    </x:xf>
    <x:xf numFmtId="200" fontId="9" fillId="0" borderId="26" xfId="0" applyNumberFormat="1" applyFont="1" applyFill="1" applyBorder="1" applyAlignment="1">
      <x:alignment vertical="top" wrapText="1"/>
    </x:xf>
    <x:xf numFmtId="0" fontId="9" fillId="0" borderId="27" xfId="0" applyNumberFormat="1" applyFont="1" applyFill="1" applyBorder="1"/>
    <x:xf numFmtId="0" fontId="9" fillId="0" borderId="27" xfId="0" applyNumberFormat="1" applyFont="1" applyFill="1" applyBorder="1" applyAlignment="1">
      <x:alignment wrapText="1"/>
    </x:xf>
    <x:xf numFmtId="0" fontId="9" fillId="0" borderId="25" xfId="0" applyNumberFormat="1" applyFont="1" applyFill="1" applyBorder="1" applyAlignment="1">
      <x:alignment vertical="center" wrapText="1"/>
    </x:xf>
    <x:xf numFmtId="0" fontId="9" fillId="0" borderId="26" xfId="0" applyNumberFormat="1" applyFont="1" applyFill="1" applyBorder="1" applyAlignment="1">
      <x:alignment vertical="center" wrapText="1"/>
    </x:xf>
    <x:xf numFmtId="0" fontId="9" fillId="0" borderId="27" xfId="0" applyNumberFormat="1" applyFont="1" applyFill="1" applyBorder="1" applyAlignment="1">
      <x:alignment vertical="center" wrapText="1"/>
    </x:xf>
    <x:xf numFmtId="0" fontId="9" fillId="4" borderId="25" xfId="0" applyNumberFormat="1" applyFont="1" applyFill="1" applyBorder="1" applyAlignment="1">
      <x:alignment vertical="center" wrapText="1"/>
    </x:xf>
    <x:xf numFmtId="0" fontId="9" fillId="4" borderId="26" xfId="0" applyNumberFormat="1" applyFont="1" applyFill="1" applyBorder="1" applyAlignment="1">
      <x:alignment vertical="center" wrapText="1"/>
    </x:xf>
    <x:xf numFmtId="0" fontId="9" fillId="4" borderId="27" xfId="0" applyNumberFormat="1" applyFont="1" applyFill="1" applyBorder="1" applyAlignment="1">
      <x:alignment vertical="center" wrapText="1"/>
    </x:xf>
    <x:xf numFmtId="0" fontId="10" fillId="4" borderId="25" xfId="0" applyNumberFormat="1" applyFont="1" applyFill="1" applyBorder="1" applyAlignment="1">
      <x:alignment vertical="center" wrapText="1"/>
    </x:xf>
    <x:xf numFmtId="0" fontId="10" fillId="4" borderId="26" xfId="0" applyNumberFormat="1" applyFont="1" applyFill="1" applyBorder="1" applyAlignment="1">
      <x:alignment vertical="center" wrapText="1"/>
    </x:xf>
    <x:xf numFmtId="0" fontId="10" fillId="4" borderId="27" xfId="0" applyNumberFormat="1" applyFont="1" applyFill="1" applyBorder="1" applyAlignment="1">
      <x:alignment vertical="center" wrapText="1"/>
    </x:xf>
    <x:xf numFmtId="0" fontId="10" fillId="4" borderId="25" xfId="0" applyNumberFormat="1" applyFont="1" applyFill="1" applyBorder="1" applyAlignment="1">
      <x:alignment horizontal="center" vertical="center" wrapText="1"/>
    </x:xf>
    <x:xf numFmtId="0" fontId="10" fillId="4" borderId="26" xfId="0" applyNumberFormat="1" applyFont="1" applyFill="1" applyBorder="1" applyAlignment="1">
      <x:alignment horizontal="center" vertical="center" wrapText="1"/>
    </x:xf>
    <x:xf numFmtId="0" fontId="10" fillId="4" borderId="27" xfId="0" applyNumberFormat="1" applyFont="1" applyFill="1" applyBorder="1" applyAlignment="1">
      <x:alignment horizontal="center" vertical="center" wrapText="1"/>
    </x:xf>
    <x:xf numFmtId="0" fontId="11" fillId="4" borderId="0" xfId="0" applyNumberFormat="1" applyFont="1" applyFill="1" applyBorder="1"/>
    <x:xf numFmtId="0" fontId="11" fillId="4" borderId="0" xfId="0" applyNumberFormat="1" applyFont="1" applyFill="1" applyBorder="1" applyAlignment="1">
      <x:alignment vertical="center"/>
    </x:xf>
    <x:xf numFmtId="0" fontId="8" fillId="2" borderId="28" xfId="0" applyNumberFormat="1" applyFont="1" applyFill="1" applyBorder="1"/>
    <x:xf numFmtId="0" fontId="8" fillId="2" borderId="28" xfId="0" applyNumberFormat="1" applyFont="1" applyFill="1" applyBorder="1" applyAlignment="1">
      <x:alignment wrapText="1"/>
    </x:xf>
    <x:xf numFmtId="0" fontId="8" fillId="2" borderId="28" xfId="0" applyNumberFormat="1" applyFont="1" applyFill="1" applyBorder="1" applyAlignment="1">
      <x:alignment horizontal="center" wrapText="1"/>
    </x:xf>
    <x:xf numFmtId="0" fontId="8" fillId="2" borderId="28" xfId="0" applyNumberFormat="1" applyFont="1" applyFill="1" applyBorder="1" applyAlignment="1">
      <x:alignment horizontal="center" vertical="center" wrapText="1"/>
    </x:xf>
    <x:xf numFmtId="0" fontId="9" fillId="0" borderId="25" xfId="0" applyNumberFormat="1" applyFont="1" applyFill="1" applyBorder="1" applyAlignment="1">
      <x:alignment horizontal="center" vertical="top" wrapText="1"/>
    </x:xf>
    <x:xf numFmtId="0" fontId="9" fillId="0" borderId="26" xfId="0" applyNumberFormat="1" applyFont="1" applyFill="1" applyBorder="1" applyAlignment="1">
      <x:alignment horizontal="center" vertical="top" wrapText="1"/>
    </x:xf>
    <x:xf numFmtId="200" fontId="9" fillId="0" borderId="25" xfId="0" applyNumberFormat="1" applyFont="1" applyFill="1" applyBorder="1" applyAlignment="1">
      <x:alignment vertical="center" wrapText="1"/>
    </x:xf>
    <x:xf numFmtId="200" fontId="9" fillId="0" borderId="26" xfId="0" applyNumberFormat="1" applyFont="1" applyFill="1" applyBorder="1" applyAlignment="1">
      <x:alignment vertical="center" wrapText="1"/>
    </x:xf>
    <x:xf numFmtId="0" fontId="12" fillId="0" borderId="25" xfId="0" applyNumberFormat="1" applyFont="1" applyFill="1" applyBorder="1" applyAlignment="1">
      <x:alignment vertical="top" wrapText="1"/>
    </x:xf>
    <x:xf numFmtId="0" fontId="12" fillId="0" borderId="26" xfId="0" applyNumberFormat="1" applyFont="1" applyFill="1" applyBorder="1" applyAlignment="1">
      <x:alignment vertical="top" wrapText="1"/>
    </x:xf>
    <x:xf numFmtId="0" fontId="13" fillId="4" borderId="0" xfId="0" applyNumberFormat="1" applyFont="1" applyFill="1" applyBorder="1"/>
    <x:xf numFmtId="0" fontId="13" fillId="4" borderId="0" xfId="0" applyNumberFormat="1" applyFont="1" applyFill="1" applyBorder="1" applyAlignment="1">
      <x:alignment wrapText="1"/>
    </x:xf>
    <x:xf numFmtId="0" fontId="13" fillId="4" borderId="0" xfId="0" applyNumberFormat="1" applyFont="1" applyFill="1" applyBorder="1" applyAlignment="1">
      <x:alignment vertical="center" wrapText="1"/>
    </x:xf>
    <x:xf numFmtId="200" fontId="9" fillId="0" borderId="25" xfId="0" applyNumberFormat="1" applyFont="1" applyFill="1" applyBorder="1" applyAlignment="1">
      <x:alignment horizontal="center" vertical="top" wrapText="1"/>
    </x:xf>
    <x:xf numFmtId="200" fontId="9" fillId="0" borderId="26" xfId="0" applyNumberFormat="1" applyFont="1" applyFill="1" applyBorder="1" applyAlignment="1">
      <x:alignment horizontal="center" vertical="top" wrapText="1"/>
    </x:xf>
    <x:xf numFmtId="200" fontId="9" fillId="0" borderId="25" xfId="0" applyNumberFormat="1" applyFont="1" applyFill="1" applyBorder="1" applyAlignment="1">
      <x:alignment horizontal="center" vertical="center" wrapText="1"/>
    </x:xf>
    <x:xf numFmtId="200" fontId="9" fillId="0" borderId="26" xfId="0" applyNumberFormat="1" applyFont="1" applyFill="1" applyBorder="1" applyAlignment="1">
      <x:alignment horizontal="center" vertical="center" wrapText="1"/>
    </x:xf>
    <x:xf numFmtId="201" fontId="9" fillId="0" borderId="25" xfId="0" applyNumberFormat="1" applyFont="1" applyFill="1" applyBorder="1" applyAlignment="1">
      <x:alignment vertical="top" wrapText="1"/>
    </x:xf>
    <x:xf numFmtId="201" fontId="9" fillId="0" borderId="26" xfId="0" applyNumberFormat="1" applyFont="1" applyFill="1" applyBorder="1" applyAlignment="1">
      <x:alignment vertical="top" wrapText="1"/>
    </x:xf>
    <x:xf numFmtId="201" fontId="9" fillId="0" borderId="25" xfId="0" applyNumberFormat="1" applyFont="1" applyFill="1" applyBorder="1" applyAlignment="1">
      <x:alignment horizontal="center" vertical="top" wrapText="1"/>
    </x:xf>
    <x:xf numFmtId="201" fontId="9" fillId="0" borderId="26" xfId="0" applyNumberFormat="1" applyFont="1" applyFill="1" applyBorder="1" applyAlignment="1">
      <x:alignment horizontal="center" vertical="top" wrapText="1"/>
    </x:xf>
    <x:xf numFmtId="201" fontId="9" fillId="0" borderId="25" xfId="0" applyNumberFormat="1" applyFont="1" applyFill="1" applyBorder="1" applyAlignment="1">
      <x:alignment horizontal="center" vertical="center" wrapText="1"/>
    </x:xf>
    <x:xf numFmtId="201" fontId="9" fillId="0" borderId="26" xfId="0" applyNumberFormat="1" applyFont="1" applyFill="1" applyBorder="1" applyAlignment="1">
      <x:alignment horizontal="center" vertical="center" wrapText="1"/>
    </x:xf>
    <x:xf numFmtId="0" fontId="1" fillId="2" borderId="0" xfId="0" applyNumberFormat="1" applyFont="1" applyFill="1" applyBorder="1" applyAlignment="1">
      <x:alignment horizontal="left" vertical="top"/>
    </x:xf>
    <x:xf numFmtId="0" fontId="6" fillId="6"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8" fillId="2" borderId="23" xfId="0" applyNumberFormat="1" applyFont="1" applyFill="1" applyBorder="1" applyAlignment="1">
      <x:alignment horizontal="center" vertical="top" wrapText="1"/>
    </x:xf>
    <x:xf numFmtId="0" fontId="8" fillId="2" borderId="28" xfId="0" applyNumberFormat="1" applyFont="1" applyFill="1" applyBorder="1" applyAlignment="1">
      <x:alignment horizontal="center" vertical="top" wrapText="1"/>
    </x:xf>
    <x:xf numFmtId="0" fontId="8" fillId="2" borderId="24" xfId="0" applyNumberFormat="1" applyFont="1" applyFill="1" applyBorder="1" applyAlignment="1">
      <x:alignment horizontal="center" vertical="top" wrapText="1"/>
    </x:xf>
    <x:xf numFmtId="0" fontId="5" fillId="5" borderId="0" xfId="0" applyNumberFormat="1" applyFont="1" applyFill="1" applyBorder="1" applyAlignment="1">
      <x:alignment vertical="top"/>
    </x:xf>
    <x:xf numFmtId="0" fontId="14" fillId="2" borderId="0" xfId="0" applyNumberFormat="1" applyFont="1" applyFill="1" applyBorder="1" applyAlignment="1">
      <x:alignment horizontal="left" vertical="center"/>
    </x:xf>
    <x:xf numFmtId="0" fontId="15" fillId="3" borderId="0" xfId="0" applyNumberFormat="1" applyFont="1" applyFill="1" applyBorder="1" applyAlignment="1">
      <x:alignment vertical="center" wrapText="1"/>
    </x:xf>
    <x:xf numFmtId="0" fontId="16" fillId="0" borderId="0" xfId="0" applyNumberFormat="1" applyFont="1" applyFill="1" applyBorder="1"/>
    <x:xf numFmtId="0" fontId="17" fillId="4" borderId="0" xfId="0" applyNumberFormat="1" applyFont="1" applyFill="1" applyBorder="1" applyAlignment="1">
      <x:alignment horizontal="center" vertical="center"/>
    </x:xf>
    <x:xf numFmtId="0" fontId="18" fillId="3" borderId="1" xfId="0" applyNumberFormat="1" applyFont="1" applyFill="1" applyBorder="1" applyAlignment="1">
      <x:alignment horizontal="center" vertical="center"/>
    </x:xf>
    <x:xf numFmtId="0" fontId="18" fillId="3" borderId="2" xfId="0" applyNumberFormat="1" applyFont="1" applyFill="1" applyBorder="1" applyAlignment="1">
      <x:alignment horizontal="center" vertical="center"/>
    </x:xf>
    <x:xf numFmtId="0" fontId="18" fillId="3" borderId="3" xfId="0" applyNumberFormat="1" applyFont="1" applyFill="1" applyBorder="1" applyAlignment="1">
      <x:alignment horizontal="center" vertical="center"/>
    </x:xf>
    <x:xf numFmtId="0" fontId="18" fillId="3" borderId="4" xfId="0" applyNumberFormat="1" applyFont="1" applyFill="1" applyBorder="1" applyAlignment="1">
      <x:alignment horizontal="center" vertical="center"/>
    </x:xf>
    <x:xf numFmtId="0" fontId="18" fillId="3" borderId="5" xfId="0" applyNumberFormat="1" applyFont="1" applyFill="1" applyBorder="1" applyAlignment="1">
      <x:alignment horizontal="center" vertical="center"/>
    </x:xf>
    <x:xf numFmtId="0" fontId="18" fillId="3" borderId="6" xfId="0" applyNumberFormat="1" applyFont="1" applyFill="1" applyBorder="1" applyAlignment="1">
      <x:alignment horizontal="center" vertical="center"/>
    </x:xf>
    <x:xf numFmtId="0" fontId="19" fillId="5" borderId="0" xfId="0" applyNumberFormat="1" applyFont="1" applyFill="1" applyBorder="1" applyAlignment="1">
      <x:alignment vertical="center"/>
    </x:xf>
    <x:xf numFmtId="0" fontId="20" fillId="6" borderId="7" xfId="0" applyNumberFormat="1" applyFont="1" applyFill="1" applyBorder="1" applyAlignment="1">
      <x:alignment vertical="center" wrapText="1"/>
    </x:xf>
    <x:xf numFmtId="0" fontId="20" fillId="6" borderId="8" xfId="0" applyNumberFormat="1" applyFont="1" applyFill="1" applyBorder="1" applyAlignment="1">
      <x:alignment vertical="center" wrapText="1"/>
    </x:xf>
    <x:xf numFmtId="0" fontId="20" fillId="6" borderId="9" xfId="0" applyNumberFormat="1" applyFont="1" applyFill="1" applyBorder="1" applyAlignment="1">
      <x:alignment vertical="center" wrapText="1"/>
    </x:xf>
    <x:xf numFmtId="0" fontId="20" fillId="6" borderId="10" xfId="0" applyNumberFormat="1" applyFont="1" applyFill="1" applyBorder="1" applyAlignment="1">
      <x:alignment vertical="center" wrapText="1"/>
    </x:xf>
    <x:xf numFmtId="0" fontId="20" fillId="6" borderId="0" xfId="0" applyNumberFormat="1" applyFont="1" applyFill="1" applyBorder="1" applyAlignment="1">
      <x:alignment vertical="center" wrapText="1"/>
    </x:xf>
    <x:xf numFmtId="0" fontId="20" fillId="6" borderId="11" xfId="0" applyNumberFormat="1" applyFont="1" applyFill="1" applyBorder="1" applyAlignment="1">
      <x:alignment vertical="center" wrapText="1"/>
    </x:xf>
    <x:xf numFmtId="0" fontId="20" fillId="6" borderId="12" xfId="0" applyNumberFormat="1" applyFont="1" applyFill="1" applyBorder="1" applyAlignment="1">
      <x:alignment vertical="center" wrapText="1"/>
    </x:xf>
    <x:xf numFmtId="0" fontId="20" fillId="6" borderId="13" xfId="0" applyNumberFormat="1" applyFont="1" applyFill="1" applyBorder="1" applyAlignment="1">
      <x:alignment vertical="center" wrapText="1"/>
    </x:xf>
    <x:xf numFmtId="0" fontId="20" fillId="6" borderId="14" xfId="0" applyNumberFormat="1" applyFont="1" applyFill="1" applyBorder="1" applyAlignment="1">
      <x:alignment vertical="center" wrapText="1"/>
    </x:xf>
    <x:xf numFmtId="0" fontId="21" fillId="7" borderId="15" xfId="0" applyNumberFormat="1" applyFont="1" applyFill="1" applyBorder="1" applyAlignment="1">
      <x:alignment vertical="center" wrapText="1"/>
    </x:xf>
    <x:xf numFmtId="0" fontId="21" fillId="7" borderId="16" xfId="0" applyNumberFormat="1" applyFont="1" applyFill="1" applyBorder="1" applyAlignment="1">
      <x:alignment vertical="center" wrapText="1"/>
    </x:xf>
    <x:xf numFmtId="0" fontId="21" fillId="7" borderId="17" xfId="0" applyNumberFormat="1" applyFont="1" applyFill="1" applyBorder="1" applyAlignment="1">
      <x:alignment vertical="center" wrapText="1"/>
    </x:xf>
    <x:xf numFmtId="0" fontId="21" fillId="7" borderId="18" xfId="0" applyNumberFormat="1" applyFont="1" applyFill="1" applyBorder="1" applyAlignment="1">
      <x:alignment vertical="center" wrapText="1"/>
    </x:xf>
    <x:xf numFmtId="0" fontId="21" fillId="7" borderId="0" xfId="0" applyNumberFormat="1" applyFont="1" applyFill="1" applyBorder="1" applyAlignment="1">
      <x:alignment vertical="center" wrapText="1"/>
    </x:xf>
    <x:xf numFmtId="0" fontId="21" fillId="7" borderId="19" xfId="0" applyNumberFormat="1" applyFont="1" applyFill="1" applyBorder="1" applyAlignment="1">
      <x:alignment vertical="center" wrapText="1"/>
    </x:xf>
    <x:xf numFmtId="0" fontId="21" fillId="7" borderId="20" xfId="0" applyNumberFormat="1" applyFont="1" applyFill="1" applyBorder="1" applyAlignment="1">
      <x:alignment vertical="center" wrapText="1"/>
    </x:xf>
    <x:xf numFmtId="0" fontId="21" fillId="7" borderId="21" xfId="0" applyNumberFormat="1" applyFont="1" applyFill="1" applyBorder="1" applyAlignment="1">
      <x:alignment vertical="center" wrapText="1"/>
    </x:xf>
    <x:xf numFmtId="0" fontId="21" fillId="7" borderId="22" xfId="0" applyNumberFormat="1" applyFont="1" applyFill="1" applyBorder="1" applyAlignment="1">
      <x:alignment vertical="center" wrapText="1"/>
    </x:xf>
    <x:xf numFmtId="0" fontId="22" fillId="2" borderId="23" xfId="0" applyNumberFormat="1" applyFont="1" applyFill="1" applyBorder="1" applyAlignment="1">
      <x:alignment horizontal="center" vertical="center" wrapText="1"/>
    </x:xf>
    <x:xf numFmtId="0" fontId="22" fillId="2" borderId="24" xfId="0" applyNumberFormat="1" applyFont="1" applyFill="1" applyBorder="1" applyAlignment="1">
      <x:alignment horizontal="center" vertical="center" wrapText="1"/>
    </x:xf>
    <x:xf numFmtId="0" fontId="23" fillId="0" borderId="25" xfId="0" applyNumberFormat="1" applyFont="1" applyFill="1" applyBorder="1" applyAlignment="1">
      <x:alignment vertical="top" wrapText="1"/>
    </x:xf>
    <x:xf numFmtId="200" fontId="23" fillId="0" borderId="25" xfId="0" applyNumberFormat="1" applyFont="1" applyFill="1" applyBorder="1" applyAlignment="1">
      <x:alignment vertical="top" wrapText="1"/>
    </x:xf>
    <x:xf numFmtId="0" fontId="23" fillId="0" borderId="26" xfId="0" applyNumberFormat="1" applyFont="1" applyFill="1" applyBorder="1" applyAlignment="1">
      <x:alignment vertical="top" wrapText="1"/>
    </x:xf>
    <x:xf numFmtId="200" fontId="23" fillId="0" borderId="26" xfId="0" applyNumberFormat="1" applyFont="1" applyFill="1" applyBorder="1" applyAlignment="1">
      <x:alignment vertical="top" wrapText="1"/>
    </x:xf>
    <x:xf numFmtId="0" fontId="24" fillId="4" borderId="25" xfId="0" applyNumberFormat="1" applyFont="1" applyFill="1" applyBorder="1" applyAlignment="1">
      <x:alignment horizontal="center" vertical="center" wrapText="1"/>
    </x:xf>
    <x:xf numFmtId="0" fontId="23" fillId="0" borderId="25" xfId="0" applyNumberFormat="1" applyFont="1" applyFill="1" applyBorder="1" applyAlignment="1">
      <x:alignment vertical="center" wrapText="1"/>
    </x:xf>
    <x:xf numFmtId="0" fontId="24" fillId="4" borderId="26" xfId="0" applyNumberFormat="1" applyFont="1" applyFill="1" applyBorder="1" applyAlignment="1">
      <x:alignment horizontal="center" vertical="center" wrapText="1"/>
    </x:xf>
    <x:xf numFmtId="0" fontId="23" fillId="0" borderId="26" xfId="0" applyNumberFormat="1" applyFont="1" applyFill="1" applyBorder="1" applyAlignment="1">
      <x:alignment vertical="center" wrapText="1"/>
    </x:xf>
    <x:xf numFmtId="0" fontId="24" fillId="4" borderId="27" xfId="0" applyNumberFormat="1" applyFont="1" applyFill="1" applyBorder="1" applyAlignment="1">
      <x:alignment horizontal="center" vertical="center" wrapText="1"/>
    </x:xf>
    <x:xf numFmtId="0" fontId="23" fillId="0" borderId="27" xfId="0" applyNumberFormat="1" applyFont="1" applyFill="1" applyBorder="1" applyAlignment="1">
      <x:alignment vertical="center" wrapText="1"/>
    </x:xf>
    <x:xf numFmtId="0" fontId="25" fillId="4" borderId="0" xfId="0" applyNumberFormat="1" applyFont="1" applyFill="1" applyBorder="1" applyAlignment="1">
      <x:alignment vertical="center"/>
    </x:xf>
    <x:xf numFmtId="0" fontId="22" fillId="2" borderId="28" xfId="0" applyNumberFormat="1" applyFont="1" applyFill="1" applyBorder="1" applyAlignment="1">
      <x:alignment horizontal="center" vertical="center" wrapText="1"/>
    </x:xf>
    <x:xf numFmtId="200" fontId="23" fillId="0" borderId="25" xfId="0" applyNumberFormat="1" applyFont="1" applyFill="1" applyBorder="1" applyAlignment="1">
      <x:alignment vertical="center" wrapText="1"/>
    </x:xf>
    <x:xf numFmtId="0" fontId="23" fillId="0" borderId="25" xfId="0" applyNumberFormat="1" applyFont="1" applyFill="1" applyBorder="1" applyAlignment="1">
      <x:alignment horizontal="center" vertical="top" wrapText="1"/>
    </x:xf>
    <x:xf numFmtId="0" fontId="26" fillId="0" borderId="25" xfId="0" applyNumberFormat="1" applyFont="1" applyFill="1" applyBorder="1" applyAlignment="1">
      <x:alignment vertical="top" wrapText="1"/>
    </x:xf>
    <x:xf numFmtId="200" fontId="23" fillId="0" borderId="26" xfId="0" applyNumberFormat="1" applyFont="1" applyFill="1" applyBorder="1" applyAlignment="1">
      <x:alignment vertical="center" wrapText="1"/>
    </x:xf>
    <x:xf numFmtId="0" fontId="23" fillId="0" borderId="26" xfId="0" applyNumberFormat="1" applyFont="1" applyFill="1" applyBorder="1" applyAlignment="1">
      <x:alignment horizontal="center" vertical="top" wrapText="1"/>
    </x:xf>
    <x:xf numFmtId="0" fontId="26" fillId="0" borderId="26" xfId="0" applyNumberFormat="1" applyFont="1" applyFill="1" applyBorder="1" applyAlignment="1">
      <x:alignment vertical="top" wrapText="1"/>
    </x:xf>
    <x:xf numFmtId="0" fontId="27" fillId="4" borderId="0" xfId="0" applyNumberFormat="1" applyFont="1" applyFill="1" applyBorder="1" applyAlignment="1">
      <x:alignment vertical="center" wrapText="1"/>
    </x:xf>
    <x:xf numFmtId="200" fontId="23" fillId="0" borderId="25" xfId="0" applyNumberFormat="1" applyFont="1" applyFill="1" applyBorder="1" applyAlignment="1">
      <x:alignment horizontal="center" vertical="center" wrapText="1"/>
    </x:xf>
    <x:xf numFmtId="200" fontId="23" fillId="0" borderId="26" xfId="0" applyNumberFormat="1" applyFont="1" applyFill="1" applyBorder="1" applyAlignment="1">
      <x:alignment horizontal="center" vertical="center" wrapText="1"/>
    </x:xf>
    <x:xf numFmtId="201" fontId="23" fillId="0" borderId="25" xfId="0" applyNumberFormat="1" applyFont="1" applyFill="1" applyBorder="1" applyAlignment="1">
      <x:alignment horizontal="center" vertical="center" wrapText="1"/>
    </x:xf>
    <x:xf numFmtId="201" fontId="23" fillId="0" borderId="26" xfId="0" applyNumberFormat="1" applyFont="1" applyFill="1" applyBorder="1" applyAlignment="1">
      <x:alignment horizontal="center" vertical="center" wrapText="1"/>
    </x:xf>
    <x:xf numFmtId="0" fontId="14" fillId="2" borderId="0" xfId="0" applyNumberFormat="1" applyFont="1" applyFill="1" applyBorder="1" applyAlignment="1">
      <x:alignment horizontal="left" vertical="top"/>
    </x:xf>
    <x:xf numFmtId="0" fontId="20" fillId="6" borderId="0" xfId="0" applyNumberFormat="1" applyFont="1" applyFill="1" applyBorder="1" applyAlignment="1">
      <x:alignment vertical="top" wrapText="1"/>
    </x:xf>
    <x:xf numFmtId="0" fontId="16" fillId="0" borderId="0" xfId="0" applyNumberFormat="1" applyFont="1" applyFill="1" applyBorder="1" applyAlignment="1">
      <x:alignment vertical="top"/>
    </x:xf>
    <x:xf numFmtId="0" fontId="22" fillId="2" borderId="23" xfId="0" applyNumberFormat="1" applyFont="1" applyFill="1" applyBorder="1" applyAlignment="1">
      <x:alignment horizontal="center" vertical="top" wrapText="1"/>
    </x:xf>
    <x:xf numFmtId="0" fontId="22" fillId="2" borderId="28" xfId="0" applyNumberFormat="1" applyFont="1" applyFill="1" applyBorder="1" applyAlignment="1">
      <x:alignment horizontal="center" vertical="top" wrapText="1"/>
    </x:xf>
    <x:xf numFmtId="0" fontId="22" fillId="2" borderId="24" xfId="0" applyNumberFormat="1" applyFont="1" applyFill="1" applyBorder="1" applyAlignment="1">
      <x:alignment horizontal="center" vertical="top" wrapText="1"/>
    </x:xf>
    <x:xf numFmtId="0" fontId="19" fillId="5" borderId="0" xfId="0" applyNumberFormat="1" applyFont="1" applyFill="1" applyBorder="1" applyAlignment="1">
      <x:alignment vertical="top"/>
    </x:xf>
  </x:cellXfs>
  <x:cellStyles count="1">
    <x:cellStyle name="Normal" xfId="0"/>
  </x:cellStyles>
  <x:dxfs count="4">
    <x:dxf>
      <x:font>
        <x:b/>
        <x:color rgb="FF375623"/>
      </x:font>
      <x:fill>
        <x:patternFill patternType="solid">
          <x:bgColor rgb="FFE2F0D9"/>
        </x:patternFill>
      </x:fill>
    </x:dxf>
    <x:dxf>
      <x:font>
        <x:b/>
        <x:color rgb="FFC00000"/>
      </x:font>
      <x:fill>
        <x:patternFill patternType="solid">
          <x:bgColor rgb="FFFCE4D6"/>
        </x:patternFill>
      </x:fill>
    </x:dxf>
    <x:dxf>
      <x:font>
        <x:b/>
        <x:color rgb="FF375623"/>
      </x:font>
      <x:fill>
        <x:patternFill patternType="solid">
          <x:bgColor rgb="FFE2F0D9"/>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66c2f84be2403c" /><Relationship Type="http://schemas.openxmlformats.org/officeDocument/2006/relationships/theme" Target="/xl/theme/theme1.xml" Id="R62bd2382424f43c5" /><Relationship Type="http://schemas.openxmlformats.org/officeDocument/2006/relationships/sharedStrings" Target="/xl/sharedStrings.xml" Id="R7ea87f76faf9482a" /><Relationship Type="http://schemas.openxmlformats.org/officeDocument/2006/relationships/worksheet" Target="/xl/worksheets/sheet1.xml" Id="R146abd5e185348b9" /><Relationship Type="http://schemas.openxmlformats.org/officeDocument/2006/relationships/worksheet" Target="/xl/worksheets/sheet2.xml" Id="Rd9865d8b853b4bf1" /><Relationship Type="http://schemas.openxmlformats.org/officeDocument/2006/relationships/worksheet" Target="/xl/worksheets/sheet3.xml" Id="R58158385731f422b" /><Relationship Type="http://schemas.openxmlformats.org/officeDocument/2006/relationships/worksheet" Target="/xl/worksheets/sheet4.xml" Id="Rd4c359430e624d1b" /><Relationship Type="http://schemas.openxmlformats.org/officeDocument/2006/relationships/worksheet" Target="/xl/worksheets/sheet5.xml" Id="R922de72dee124dac" /><Relationship Type="http://schemas.openxmlformats.org/officeDocument/2006/relationships/worksheet" Target="/xl/worksheets/sheet6.xml" Id="R31d054b179d64417" /></Relationships>
</file>

<file path=xl/drawings/_rels/drawing1.xml.rels>&#65279;<?xml version="1.0" encoding="utf-8"?><Relationships xmlns="http://schemas.openxmlformats.org/package/2006/relationships"><Relationship Type="http://schemas.openxmlformats.org/officeDocument/2006/relationships/chart" Target="/xl/drawings/charts/chart1.xml" Id="R4a1106eb1ab2441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91项证据的主题分布（篇）</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文献数</c:v>
          </c:tx>
          <c:cat>
            <c:strRef>
              <c:f>'阶段摘要'!$A$20:$A$27</c:f>
              <c:strCache>
                <c:ptCount val="0"/>
              </c:strCache>
            </c:strRef>
          </c:cat>
          <c:val>
            <c:numRef>
              <c:f>'阶段摘要'!$B$20:$B$27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18</xdr:row>
      <xdr:rowOff>0</xdr:rowOff>
    </xdr:from>
    <xdr:to>
      <xdr:col>8</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a1106eb1ab24419"/>
        </a:graphicData>
      </a:graphic>
    </xdr:graphicFrame>
    <xdr:clientData/>
  </xdr:twoCellAnchor>
</xdr:wsDr>
</file>

<file path=xl/tables/table1.xml><?xml version="1.0" encoding="utf-8"?>
<x:table xmlns:x="http://schemas.openxmlformats.org/spreadsheetml/2006/main" id="1" name="EvidenceMatrix" displayName="EvidenceMatrix" ref="A1:R92" headerRowCount="1" totalsRowCount="0" totalsRowShown="0">
  <x:autoFilter ref="A1:R92"/>
  <x:tableColumns count="18">
    <x:tableColumn id="1" name="编号"/>
    <x:tableColumn id="2" name="资料集"/>
    <x:tableColumn id="3" name="优先级"/>
    <x:tableColumn id="4" name="年份"/>
    <x:tableColumn id="5" name="类别"/>
    <x:tableColumn id="6" name="标题"/>
    <x:tableColumn id="7" name="项目角色"/>
    <x:tableColumn id="8" name="方法族"/>
    <x:tableColumn id="9" name="工作负载"/>
    <x:tableColumn id="10" name="复用范围"/>
    <x:tableColumn id="11" name="存储层级"/>
    <x:tableColumn id="12" name="评测证据"/>
    <x:tableColumn id="13" name="项目局限"/>
    <x:tableColumn id="14" name="研究空白标签"/>
    <x:tableColumn id="15" name="相关度"/>
    <x:tableColumn id="16" name="证据置信度"/>
    <x:tableColumn id="17" name="官方链接"/>
    <x:tableColumn id="18" name="代码/数据链接"/>
  </x:tableColumns>
  <x:tableStyleInfo name="TableStyleMedium2" showFirstColumn="0" showLastColumn="0" showRowStripes="1" showColumnStripes="0"/>
</x:table>
</file>

<file path=xl/tables/table2.xml><?xml version="1.0" encoding="utf-8"?>
<x:table xmlns:x="http://schemas.openxmlformats.org/spreadsheetml/2006/main" id="2" name="ResearchGaps" displayName="ResearchGaps" ref="A4:H12" headerRowCount="1" totalsRowCount="0" totalsRowShown="0">
  <x:autoFilter ref="A4:H12"/>
  <x:tableColumns count="8">
    <x:tableColumn id="1" name="编号"/>
    <x:tableColumn id="2" name="研究空白"/>
    <x:tableColumn id="3" name="关键证据"/>
    <x:tableColumn id="4" name="新颖性"/>
    <x:tableColumn id="5" name="必要性"/>
    <x:tableColumn id="6" name="可行性"/>
    <x:tableColumn id="7" name="风险"/>
    <x:tableColumn id="8" name="0-4决策"/>
  </x:tableColumns>
  <x:tableStyleInfo name="TableStyleMedium2" showFirstColumn="0" showLastColumn="0" showRowStripes="1" showColumnStripes="0"/>
</x:table>
</file>

<file path=xl/tables/table3.xml><?xml version="1.0" encoding="utf-8"?>
<x:table xmlns:x="http://schemas.openxmlformats.org/spreadsheetml/2006/main" id="3" name="CandidateRoutes" displayName="CandidateRoutes" ref="A4:J10" headerRowCount="1" totalsRowCount="0" totalsRowShown="0">
  <x:autoFilter ref="A4:J10"/>
  <x:tableColumns count="10">
    <x:tableColumn id="1" name="路线"/>
    <x:tableColumn id="2" name="候选方向"/>
    <x:tableColumn id="3" name="新颖性"/>
    <x:tableColumn id="4" name="可行性"/>
    <x:tableColumn id="5" name="证据支撑"/>
    <x:tableColumn id="6" name="范围可控"/>
    <x:tableColumn id="7" name="安全性"/>
    <x:tableColumn id="8" name="加权总分"/>
    <x:tableColumn id="9" name="决策"/>
    <x:tableColumn id="10" name="理由"/>
  </x:tableColumns>
  <x:tableStyleInfo name="TableStyleMedium2" showFirstColumn="0" showLastColumn="0" showRowStripes="1" showColumnStripes="0"/>
</x:table>
</file>

<file path=xl/tables/table4.xml><?xml version="1.0" encoding="utf-8"?>
<x:table xmlns:x="http://schemas.openxmlformats.org/spreadsheetml/2006/main" id="4" name="ResearchQuestions" displayName="ResearchQuestions" ref="A4:G9" headerRowCount="1" totalsRowCount="0" totalsRowShown="0">
  <x:autoFilter ref="A4:G9"/>
  <x:tableColumns count="7">
    <x:tableColumn id="1" name="编号"/>
    <x:tableColumn id="2" name="研究问题"/>
    <x:tableColumn id="3" name="自变量/压力维度"/>
    <x:tableColumn id="4" name="因变量/指标"/>
    <x:tableColumn id="5" name="方法"/>
    <x:tableColumn id="6" name="退出标准"/>
    <x:tableColumn id="7" name="层级"/>
  </x:tableColumns>
  <x:tableStyleInfo name="TableStyleMedium2" showFirstColumn="0" showLastColumn="0" showRowStripes="1" showColumnStripes="0"/>
</x:table>
</file>

<file path=xl/tables/table5.xml><?xml version="1.0" encoding="utf-8"?>
<x:table xmlns:x="http://schemas.openxmlformats.org/spreadsheetml/2006/main" id="5" name="Hypotheses" displayName="Hypotheses" ref="A13:D19" headerRowCount="1" totalsRowCount="0" totalsRowShown="0">
  <x:autoFilter ref="A13:D19"/>
  <x:tableColumns count="4">
    <x:tableColumn id="1" name="编号"/>
    <x:tableColumn id="2" name="假设"/>
    <x:tableColumn id="3" name="验证方法"/>
    <x:tableColumn id="4" name="证伪条件"/>
  </x:tableColumns>
  <x:tableStyleInfo name="TableStyleMedium2" showFirstColumn="0" showLastColumn="0" showRowStripes="1" showColumnStripes="0"/>
</x:table>
</file>

<file path=xl/tables/table6.xml><?xml version="1.0" encoding="utf-8"?>
<x:table xmlns:x="http://schemas.openxmlformats.org/spreadsheetml/2006/main" id="6" name="Baselines" displayName="Baselines" ref="A22:D29" headerRowCount="1" totalsRowCount="0" totalsRowShown="0">
  <x:autoFilter ref="A22:D29"/>
  <x:tableColumns count="4">
    <x:tableColumn id="1" name="编号"/>
    <x:tableColumn id="2" name="基线"/>
    <x:tableColumn id="3" name="作用"/>
    <x:tableColumn id="4" name="是否强制"/>
  </x:tableColumns>
  <x:tableStyleInfo name="TableStyleMedium2" showFirstColumn="0" showLastColumn="0" showRowStripes="1" showColumnStripes="0"/>
</x:table>
</file>

<file path=xl/tables/table7.xml><?xml version="1.0" encoding="utf-8"?>
<x:table xmlns:x="http://schemas.openxmlformats.org/spreadsheetml/2006/main" id="7" name="Metrics" displayName="Metrics" ref="A32:D40" headerRowCount="1" totalsRowCount="0" totalsRowShown="0">
  <x:autoFilter ref="A32:D40"/>
  <x:tableColumns count="4">
    <x:tableColumn id="1" name="组别"/>
    <x:tableColumn id="2" name="指标"/>
    <x:tableColumn id="3" name="定义"/>
    <x:tableColumn id="4" name="用途"/>
  </x:tableColumns>
  <x:tableStyleInfo name="TableStyleMedium2" showFirstColumn="0" showLastColumn="0" showRowStripes="1" showColumnStripes="0"/>
</x:table>
</file>

<file path=xl/tables/table8.xml><?xml version="1.0" encoding="utf-8"?>
<x:table xmlns:x="http://schemas.openxmlformats.org/spreadsheetml/2006/main" id="8" name="SupplementalLiterature" displayName="SupplementalLiterature" ref="A4:O19" headerRowCount="1" totalsRowCount="0" totalsRowShown="0">
  <x:autoFilter ref="A4:O19"/>
  <x:tableColumns count="15">
    <x:tableColumn id="1" name="编号"/>
    <x:tableColumn id="2" name="优先级"/>
    <x:tableColumn id="3" name="年份"/>
    <x:tableColumn id="4" name="标题"/>
    <x:tableColumn id="5" name="作者"/>
    <x:tableColumn id="6" name="项目角色"/>
    <x:tableColumn id="7" name="方法族"/>
    <x:tableColumn id="8" name="工作负载"/>
    <x:tableColumn id="9" name="复用范围"/>
    <x:tableColumn id="10" name="存储层级"/>
    <x:tableColumn id="11" name="评测证据"/>
    <x:tableColumn id="12" name="项目局限"/>
    <x:tableColumn id="13" name="Gap"/>
    <x:tableColumn id="14" name="论文入口"/>
    <x:tableColumn id="15" name="代码/数据"/>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4b4fcdc3de04ecd" /></Relationships>
</file>

<file path=xl/worksheets/_rels/sheet2.xml.rels>&#65279;<?xml version="1.0" encoding="utf-8"?><Relationships xmlns="http://schemas.openxmlformats.org/package/2006/relationships"><Relationship Type="http://schemas.openxmlformats.org/officeDocument/2006/relationships/table" Target="/xl/tables/table1.xml" Id="Rce98e2d593954f95" /></Relationships>
</file>

<file path=xl/worksheets/_rels/sheet3.xml.rels>&#65279;<?xml version="1.0" encoding="utf-8"?><Relationships xmlns="http://schemas.openxmlformats.org/package/2006/relationships"><Relationship Type="http://schemas.openxmlformats.org/officeDocument/2006/relationships/table" Target="/xl/tables/table2.xml" Id="R3c39deb2eac141bd" /></Relationships>
</file>

<file path=xl/worksheets/_rels/sheet4.xml.rels>&#65279;<?xml version="1.0" encoding="utf-8"?><Relationships xmlns="http://schemas.openxmlformats.org/package/2006/relationships"><Relationship Type="http://schemas.openxmlformats.org/officeDocument/2006/relationships/table" Target="/xl/tables/table3.xml" Id="R542749da908143e6" /></Relationships>
</file>

<file path=xl/worksheets/_rels/sheet5.xml.rels>&#65279;<?xml version="1.0" encoding="utf-8"?><Relationships xmlns="http://schemas.openxmlformats.org/package/2006/relationships"><Relationship Type="http://schemas.openxmlformats.org/officeDocument/2006/relationships/table" Target="/xl/tables/table4.xml" Id="R9e3ab70f83264e48" /><Relationship Type="http://schemas.openxmlformats.org/officeDocument/2006/relationships/table" Target="/xl/tables/table5.xml" Id="Rb5856b7161fe4be4" /><Relationship Type="http://schemas.openxmlformats.org/officeDocument/2006/relationships/table" Target="/xl/tables/table6.xml" Id="R6f7e5c85ff9f4b94" /><Relationship Type="http://schemas.openxmlformats.org/officeDocument/2006/relationships/table" Target="/xl/tables/table7.xml" Id="R83e969ec45374378" /></Relationships>
</file>

<file path=xl/worksheets/_rels/sheet6.xml.rels>&#65279;<?xml version="1.0" encoding="utf-8"?><Relationships xmlns="http://schemas.openxmlformats.org/package/2006/relationships"><Relationship Type="http://schemas.openxmlformats.org/officeDocument/2006/relationships/table" Target="/xl/tables/table8.xml" Id="Rf5d785c177dd4c04"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155" t="str">
        <x:v>Code Agent KVCache｜0-4 调研结论与研究问题收敛</x:v>
      </x:c>
      <x:c r="B1" s="155" t="str">
        <x:v>Code Agent KVCache｜0-4 调研结论与研究问题收敛</x:v>
      </x:c>
      <x:c r="C1" s="155" t="str">
        <x:v>Code Agent KVCache｜0-4 调研结论与研究问题收敛</x:v>
      </x:c>
      <x:c r="D1" s="155" t="str">
        <x:v>Code Agent KVCache｜0-4 调研结论与研究问题收敛</x:v>
      </x:c>
      <x:c r="E1" s="155" t="str">
        <x:v>Code Agent KVCache｜0-4 调研结论与研究问题收敛</x:v>
      </x:c>
      <x:c r="F1" s="155" t="str">
        <x:v>Code Agent KVCache｜0-4 调研结论与研究问题收敛</x:v>
      </x:c>
      <x:c r="G1" s="155" t="str">
        <x:v>Code Agent KVCache｜0-4 调研结论与研究问题收敛</x:v>
      </x:c>
      <x:c r="H1" s="155" t="str">
        <x:v>Code Agent KVCache｜0-4 调研结论与研究问题收敛</x:v>
      </x:c>
    </x:row>
    <x:row r="2" ht="30" customHeight="1">
      <x:c r="A2" s="156" t="str">
        <x:v>阶段状态：候选完成，待用户评审｜资料截止：2026-08-31</x:v>
      </x:c>
      <x:c r="B2" s="156" t="str">
        <x:v>阶段状态：候选完成，待用户评审｜资料截止：2026-08-31</x:v>
      </x:c>
      <x:c r="C2" s="156" t="str">
        <x:v>阶段状态：候选完成，待用户评审｜资料截止：2026-08-31</x:v>
      </x:c>
      <x:c r="D2" s="156" t="str">
        <x:v>阶段状态：候选完成，待用户评审｜资料截止：2026-08-31</x:v>
      </x:c>
      <x:c r="E2" s="156" t="str">
        <x:v>阶段状态：候选完成，待用户评审｜资料截止：2026-08-31</x:v>
      </x:c>
      <x:c r="F2" s="156" t="str">
        <x:v>阶段状态：候选完成，待用户评审｜资料截止：2026-08-31</x:v>
      </x:c>
      <x:c r="G2" s="156" t="str">
        <x:v>阶段状态：候选完成，待用户评审｜资料截止：2026-08-31</x:v>
      </x:c>
      <x:c r="H2" s="156" t="str">
        <x:v>阶段状态：候选完成，待用户评审｜资料截止：2026-08-31</x:v>
      </x:c>
    </x:row>
    <x:row r="3">
      <x:c r="A3" s="157"/>
      <x:c r="B3" s="157"/>
      <x:c r="C3" s="157"/>
      <x:c r="D3" s="157"/>
      <x:c r="E3" s="157"/>
      <x:c r="F3" s="157"/>
      <x:c r="G3" s="157"/>
      <x:c r="H3" s="157"/>
    </x:row>
    <x:row r="4">
      <x:c r="A4" s="158" t="str">
        <x:v>证据总数</x:v>
      </x:c>
      <x:c r="B4" s="158"/>
      <x:c r="C4" s="158" t="str">
        <x:v>既有资料</x:v>
      </x:c>
      <x:c r="D4" s="158"/>
      <x:c r="E4" s="158" t="str">
        <x:v>新增关键研究</x:v>
      </x:c>
      <x:c r="F4" s="158"/>
      <x:c r="G4" s="158" t="str">
        <x:v>高相关证据</x:v>
      </x:c>
      <x:c r="H4" s="158"/>
    </x:row>
    <x:row r="5">
      <x:c r="A5" s="159" t="n">
        <x:f>COUNTA('证据矩阵'!$A$2:$A$92)</x:f>
        <x:v>91</x:v>
      </x:c>
      <x:c r="B5" s="160"/>
      <x:c r="C5" s="160" t="n">
        <x:f>COUNTIF('证据矩阵'!$B$2:$B$92,"既有76篇资料包")</x:f>
        <x:v>76</x:v>
      </x:c>
      <x:c r="D5" s="160"/>
      <x:c r="E5" s="160" t="n">
        <x:f>COUNTIF('证据矩阵'!$B$2:$B$92,"0-4补充检索")</x:f>
        <x:v>15</x:v>
      </x:c>
      <x:c r="F5" s="160"/>
      <x:c r="G5" s="160" t="n">
        <x:f>COUNTIF('证据矩阵'!$O$2:$O$92,"高")</x:f>
        <x:v>36</x:v>
      </x:c>
      <x:c r="H5" s="161"/>
    </x:row>
    <x:row r="6">
      <x:c r="A6" s="162"/>
      <x:c r="B6" s="163"/>
      <x:c r="C6" s="163"/>
      <x:c r="D6" s="163"/>
      <x:c r="E6" s="163"/>
      <x:c r="F6" s="163"/>
      <x:c r="G6" s="163"/>
      <x:c r="H6" s="164"/>
    </x:row>
    <x:row r="7">
      <x:c r="A7" s="157"/>
      <x:c r="B7" s="157"/>
      <x:c r="C7" s="157"/>
      <x:c r="D7" s="157"/>
      <x:c r="E7" s="157"/>
      <x:c r="F7" s="157"/>
      <x:c r="G7" s="157"/>
      <x:c r="H7" s="157"/>
    </x:row>
    <x:row r="8" ht="24" customHeight="1">
      <x:c r="A8" s="165" t="str">
        <x:v>研究判断</x:v>
      </x:c>
      <x:c r="B8" s="165" t="str">
        <x:v>研究判断</x:v>
      </x:c>
      <x:c r="C8" s="165" t="str">
        <x:v>研究判断</x:v>
      </x:c>
      <x:c r="D8" s="165" t="str">
        <x:v>研究判断</x:v>
      </x:c>
      <x:c r="E8" s="165" t="str">
        <x:v>研究判断</x:v>
      </x:c>
      <x:c r="F8" s="165" t="str">
        <x:v>研究判断</x:v>
      </x:c>
      <x:c r="G8" s="165" t="str">
        <x:v>研究判断</x:v>
      </x:c>
      <x:c r="H8" s="165" t="str">
        <x:v>研究判断</x:v>
      </x:c>
    </x:row>
    <x:row r="9">
      <x:c r="A9" s="166" t="str">
        <x:v>将宽泛的“Code Agent前缀缓存＋通用分层存储”收窄；精确前缀为首期正确性边界，非前缀复用仅作高风险拓展。</x:v>
      </x:c>
      <x:c r="B9" s="167"/>
      <x:c r="C9" s="167"/>
      <x:c r="D9" s="167"/>
      <x:c r="E9" s="167"/>
      <x:c r="F9" s="167"/>
      <x:c r="G9" s="167"/>
      <x:c r="H9" s="168"/>
    </x:row>
    <x:row r="10">
      <x:c r="A10" s="169"/>
      <x:c r="B10" s="170"/>
      <x:c r="C10" s="170"/>
      <x:c r="D10" s="170"/>
      <x:c r="E10" s="170"/>
      <x:c r="F10" s="170"/>
      <x:c r="G10" s="170"/>
      <x:c r="H10" s="171"/>
    </x:row>
    <x:row r="11">
      <x:c r="A11" s="172"/>
      <x:c r="B11" s="173"/>
      <x:c r="C11" s="173"/>
      <x:c r="D11" s="173"/>
      <x:c r="E11" s="173"/>
      <x:c r="F11" s="173"/>
      <x:c r="G11" s="173"/>
      <x:c r="H11" s="174"/>
    </x:row>
    <x:row r="12">
      <x:c r="A12" s="157"/>
      <x:c r="B12" s="157"/>
      <x:c r="C12" s="157"/>
      <x:c r="D12" s="157"/>
      <x:c r="E12" s="157"/>
      <x:c r="F12" s="157"/>
      <x:c r="G12" s="157"/>
      <x:c r="H12" s="157"/>
    </x:row>
    <x:row r="13" ht="24" customHeight="1">
      <x:c r="A13" s="165" t="str">
        <x:v>推荐主线</x:v>
      </x:c>
      <x:c r="B13" s="165" t="str">
        <x:v>推荐主线</x:v>
      </x:c>
      <x:c r="C13" s="165" t="str">
        <x:v>推荐主线</x:v>
      </x:c>
      <x:c r="D13" s="165" t="str">
        <x:v>推荐主线</x:v>
      </x:c>
      <x:c r="E13" s="165" t="str">
        <x:v>推荐主线</x:v>
      </x:c>
      <x:c r="F13" s="165" t="str">
        <x:v>推荐主线</x:v>
      </x:c>
      <x:c r="G13" s="165" t="str">
        <x:v>推荐主线</x:v>
      </x:c>
      <x:c r="H13" s="165" t="str">
        <x:v>推荐主线</x:v>
      </x:c>
    </x:row>
    <x:row r="14">
      <x:c r="A14" s="175" t="str">
        <x:v>受限单机环境下、面向Code Agent暂停/恢复轨迹的有效复用边界与价值密度驱动的分层KV保留策略
Effective-reuse frontier and value-density-driven tiered KV retention for paused/resumed coding-agent sessions on memory-constrained single-node systems</x:v>
      </x:c>
      <x:c r="B14" s="176"/>
      <x:c r="C14" s="176"/>
      <x:c r="D14" s="176"/>
      <x:c r="E14" s="176"/>
      <x:c r="F14" s="176"/>
      <x:c r="G14" s="176"/>
      <x:c r="H14" s="177"/>
    </x:row>
    <x:row r="15">
      <x:c r="A15" s="178"/>
      <x:c r="B15" s="179"/>
      <x:c r="C15" s="179"/>
      <x:c r="D15" s="179"/>
      <x:c r="E15" s="179"/>
      <x:c r="F15" s="179"/>
      <x:c r="G15" s="179"/>
      <x:c r="H15" s="180"/>
    </x:row>
    <x:row r="16">
      <x:c r="A16" s="178"/>
      <x:c r="B16" s="179"/>
      <x:c r="C16" s="179"/>
      <x:c r="D16" s="179"/>
      <x:c r="E16" s="179"/>
      <x:c r="F16" s="179"/>
      <x:c r="G16" s="179"/>
      <x:c r="H16" s="180"/>
    </x:row>
    <x:row r="17">
      <x:c r="A17" s="181"/>
      <x:c r="B17" s="182"/>
      <x:c r="C17" s="182"/>
      <x:c r="D17" s="182"/>
      <x:c r="E17" s="182"/>
      <x:c r="F17" s="182"/>
      <x:c r="G17" s="182"/>
      <x:c r="H17" s="183"/>
    </x:row>
    <x:row r="18">
      <x:c r="A18" s="157"/>
      <x:c r="B18" s="157"/>
      <x:c r="C18" s="157"/>
      <x:c r="D18" s="157"/>
      <x:c r="E18" s="157"/>
      <x:c r="F18" s="157"/>
      <x:c r="G18" s="157"/>
      <x:c r="H18" s="157"/>
    </x:row>
    <x:row r="19" ht="30" customHeight="1">
      <x:c r="A19" s="184" t="str">
        <x:v>证据类别</x:v>
      </x:c>
      <x:c r="B19" s="185" t="str">
        <x:v>文献数</x:v>
      </x:c>
      <x:c r="C19" s="157"/>
      <x:c r="D19" s="157"/>
      <x:c r="E19" s="157"/>
      <x:c r="F19" s="157"/>
      <x:c r="G19" s="157"/>
      <x:c r="H19" s="157"/>
    </x:row>
    <x:row r="20">
      <x:c r="A20" s="186" t="str">
        <x:v>Code Agent工作负载与基准</x:v>
      </x:c>
      <x:c r="B20" s="187" t="n">
        <x:f>COUNTIF('证据矩阵'!$E$2:$E$92,A20)</x:f>
        <x:v>20</x:v>
      </x:c>
      <x:c r="C20" s="157"/>
      <x:c r="D20" s="157"/>
      <x:c r="E20" s="157"/>
      <x:c r="F20" s="157"/>
      <x:c r="G20" s="157"/>
      <x:c r="H20" s="157"/>
    </x:row>
    <x:row r="21">
      <x:c r="A21" s="188" t="str">
        <x:v>前缀缓存与上下文复用</x:v>
      </x:c>
      <x:c r="B21" s="189" t="n">
        <x:f>COUNTIF('证据矩阵'!$E$2:$E$92,A21)</x:f>
        <x:v>14</x:v>
      </x:c>
      <x:c r="C21" s="157"/>
      <x:c r="D21" s="157"/>
      <x:c r="E21" s="157"/>
      <x:c r="F21" s="157"/>
      <x:c r="G21" s="157"/>
      <x:c r="H21" s="157"/>
    </x:row>
    <x:row r="22">
      <x:c r="A22" s="188" t="str">
        <x:v>分层存储与解耦推理</x:v>
      </x:c>
      <x:c r="B22" s="189" t="n">
        <x:f>COUNTIF('证据矩阵'!$E$2:$E$92,A22)</x:f>
        <x:v>12</x:v>
      </x:c>
      <x:c r="C22" s="157"/>
      <x:c r="D22" s="157"/>
      <x:c r="E22" s="157"/>
      <x:c r="F22" s="157"/>
      <x:c r="G22" s="157"/>
      <x:c r="H22" s="157"/>
    </x:row>
    <x:row r="23">
      <x:c r="A23" s="188" t="str">
        <x:v>压缩淘汰与注意力架构</x:v>
      </x:c>
      <x:c r="B23" s="189" t="n">
        <x:f>COUNTIF('证据矩阵'!$E$2:$E$92,A23)</x:f>
        <x:v>21</x:v>
      </x:c>
      <x:c r="C23" s="157"/>
      <x:c r="D23" s="157"/>
      <x:c r="E23" s="157"/>
      <x:c r="F23" s="157"/>
      <x:c r="G23" s="157"/>
      <x:c r="H23" s="157"/>
    </x:row>
    <x:row r="24">
      <x:c r="A24" s="188" t="str">
        <x:v>评测方法与安全隔离</x:v>
      </x:c>
      <x:c r="B24" s="189" t="n">
        <x:f>COUNTIF('证据矩阵'!$E$2:$E$92,A24)</x:f>
        <x:v>10</x:v>
      </x:c>
      <x:c r="C24" s="157"/>
      <x:c r="D24" s="157"/>
      <x:c r="E24" s="157"/>
      <x:c r="F24" s="157"/>
      <x:c r="G24" s="157"/>
      <x:c r="H24" s="157"/>
    </x:row>
    <x:row r="25">
      <x:c r="A25" s="188" t="str">
        <x:v>近期Agent推理与缓存研究</x:v>
      </x:c>
      <x:c r="B25" s="189" t="n">
        <x:f>COUNTIF('证据矩阵'!$E$2:$E$92,A25)</x:f>
        <x:v>10</x:v>
      </x:c>
      <x:c r="C25" s="157"/>
      <x:c r="D25" s="157"/>
      <x:c r="E25" s="157"/>
      <x:c r="F25" s="157"/>
      <x:c r="G25" s="157"/>
      <x:c r="H25" s="157"/>
    </x:row>
    <x:row r="26">
      <x:c r="A26" s="188" t="str">
        <x:v>成本指标与缓存经济性</x:v>
      </x:c>
      <x:c r="B26" s="189" t="n">
        <x:f>COUNTIF('证据矩阵'!$E$2:$E$92,A26)</x:f>
        <x:v>3</x:v>
      </x:c>
      <x:c r="C26" s="157"/>
      <x:c r="D26" s="157"/>
      <x:c r="E26" s="157"/>
      <x:c r="F26" s="157"/>
      <x:c r="G26" s="157"/>
      <x:c r="H26" s="157"/>
    </x:row>
    <x:row r="27">
      <x:c r="A27" s="188" t="str">
        <x:v>Agent推理评测与重放</x:v>
      </x:c>
      <x:c r="B27" s="189" t="n">
        <x:f>COUNTIF('证据矩阵'!$E$2:$E$92,A27)</x:f>
        <x:v>1</x:v>
      </x:c>
      <x:c r="C27" s="157"/>
      <x:c r="D27" s="157"/>
      <x:c r="E27" s="157"/>
      <x:c r="F27" s="157"/>
      <x:c r="G27" s="157"/>
      <x:c r="H27" s="157"/>
    </x:row>
    <x:row r="28">
      <x:c r="A28" s="157"/>
      <x:c r="B28" s="157"/>
      <x:c r="C28" s="157"/>
      <x:c r="D28" s="157"/>
      <x:c r="E28" s="157"/>
      <x:c r="F28" s="157"/>
      <x:c r="G28" s="157"/>
      <x:c r="H28" s="157"/>
    </x:row>
    <x:row r="29">
      <x:c r="A29" s="157"/>
      <x:c r="B29" s="157"/>
      <x:c r="C29" s="157"/>
      <x:c r="D29" s="157"/>
      <x:c r="E29" s="157"/>
      <x:c r="F29" s="157"/>
      <x:c r="G29" s="157"/>
      <x:c r="H29" s="157"/>
    </x:row>
    <x:row r="30">
      <x:c r="A30" s="157"/>
      <x:c r="B30" s="157"/>
      <x:c r="C30" s="157"/>
      <x:c r="D30" s="157"/>
      <x:c r="E30" s="157"/>
      <x:c r="F30" s="157"/>
      <x:c r="G30" s="157"/>
      <x:c r="H30" s="157"/>
    </x:row>
    <x:row r="31">
      <x:c r="A31" s="157"/>
      <x:c r="B31" s="157"/>
      <x:c r="C31" s="157"/>
      <x:c r="D31" s="157"/>
      <x:c r="E31" s="157"/>
      <x:c r="F31" s="157"/>
      <x:c r="G31" s="157"/>
      <x:c r="H31" s="157"/>
    </x:row>
    <x:row r="32">
      <x:c r="A32" s="157"/>
      <x:c r="B32" s="157"/>
      <x:c r="C32" s="157"/>
      <x:c r="D32" s="157"/>
      <x:c r="E32" s="157"/>
      <x:c r="F32" s="157"/>
      <x:c r="G32" s="157"/>
      <x:c r="H32" s="157"/>
    </x:row>
    <x:row r="33">
      <x:c r="A33" s="157"/>
      <x:c r="B33" s="157"/>
      <x:c r="C33" s="157"/>
      <x:c r="D33" s="157"/>
      <x:c r="E33" s="157"/>
      <x:c r="F33" s="157"/>
      <x:c r="G33" s="157"/>
      <x:c r="H33" s="157"/>
    </x:row>
    <x:row r="34">
      <x:c r="A34" s="157"/>
      <x:c r="B34" s="157"/>
      <x:c r="C34" s="157"/>
      <x:c r="D34" s="157"/>
      <x:c r="E34" s="157"/>
      <x:c r="F34" s="157"/>
      <x:c r="G34" s="157"/>
      <x:c r="H34" s="157"/>
    </x:row>
    <x:row r="35">
      <x:c r="A35" s="157"/>
      <x:c r="B35" s="157"/>
      <x:c r="C35" s="157"/>
      <x:c r="D35" s="157"/>
      <x:c r="E35" s="157"/>
      <x:c r="F35" s="157"/>
      <x:c r="G35" s="157"/>
      <x:c r="H35" s="157"/>
    </x:row>
    <x:row r="36">
      <x:c r="A36" s="157"/>
      <x:c r="B36" s="157"/>
      <x:c r="C36" s="157"/>
      <x:c r="D36" s="157"/>
      <x:c r="E36" s="157"/>
      <x:c r="F36" s="157"/>
      <x:c r="G36" s="157"/>
      <x:c r="H36" s="157"/>
    </x:row>
    <x:row r="37" ht="24" customHeight="1">
      <x:c r="A37" s="165" t="str">
        <x:v>0-4 退出条件</x:v>
      </x:c>
      <x:c r="B37" s="165" t="str">
        <x:v>0-4 退出条件</x:v>
      </x:c>
      <x:c r="C37" s="165" t="str">
        <x:v>0-4 退出条件</x:v>
      </x:c>
      <x:c r="D37" s="165" t="str">
        <x:v>0-4 退出条件</x:v>
      </x:c>
      <x:c r="E37" s="165" t="str">
        <x:v>0-4 退出条件</x:v>
      </x:c>
      <x:c r="F37" s="165" t="str">
        <x:v>0-4 退出条件</x:v>
      </x:c>
      <x:c r="G37" s="165" t="str">
        <x:v>0-4 退出条件</x:v>
      </x:c>
      <x:c r="H37" s="165" t="str">
        <x:v>0-4 退出条件</x:v>
      </x:c>
    </x:row>
    <x:row r="38" ht="28" customHeight="1">
      <x:c r="A38" s="190" t="str">
        <x:v>1</x:v>
      </x:c>
      <x:c r="B38" s="191" t="str">
        <x:v>用户认可主线收窄与研究边界</x:v>
      </x:c>
      <x:c r="C38" s="191"/>
      <x:c r="D38" s="191"/>
      <x:c r="E38" s="191"/>
      <x:c r="F38" s="191"/>
      <x:c r="G38" s="191"/>
      <x:c r="H38" s="191"/>
    </x:row>
    <x:row r="39" ht="28" customHeight="1">
      <x:c r="A39" s="192" t="str">
        <x:v>2</x:v>
      </x:c>
      <x:c r="B39" s="193" t="str">
        <x:v>用户认可RQ1–RQ4为核心，RQ5仅作拓展</x:v>
      </x:c>
      <x:c r="C39" s="193"/>
      <x:c r="D39" s="193"/>
      <x:c r="E39" s="193"/>
      <x:c r="F39" s="193"/>
      <x:c r="G39" s="193"/>
      <x:c r="H39" s="193"/>
    </x:row>
    <x:row r="40" ht="28" customHeight="1">
      <x:c r="A40" s="192" t="str">
        <x:v>3</x:v>
      </x:c>
      <x:c r="B40" s="193" t="str">
        <x:v>用户认可强基线和终局指标</x:v>
      </x:c>
      <x:c r="C40" s="193"/>
      <x:c r="D40" s="193"/>
      <x:c r="E40" s="193"/>
      <x:c r="F40" s="193"/>
      <x:c r="G40" s="193"/>
      <x:c r="H40" s="193"/>
    </x:row>
    <x:row r="41" ht="28" customHeight="1">
      <x:c r="A41" s="192" t="str">
        <x:v>4</x:v>
      </x:c>
      <x:c r="B41" s="193" t="str">
        <x:v>确认本机NVMe型号/容量/顺序读写能力</x:v>
      </x:c>
      <x:c r="C41" s="193"/>
      <x:c r="D41" s="193"/>
      <x:c r="E41" s="193"/>
      <x:c r="F41" s="193"/>
      <x:c r="G41" s="193"/>
      <x:c r="H41" s="193"/>
    </x:row>
    <x:row r="42" ht="28" customHeight="1">
      <x:c r="A42" s="192" t="str">
        <x:v>5</x:v>
      </x:c>
      <x:c r="B42" s="193" t="str">
        <x:v>确认首个模型与推理框架（建议GQA＋vLLM）</x:v>
      </x:c>
      <x:c r="C42" s="193"/>
      <x:c r="D42" s="193"/>
      <x:c r="E42" s="193"/>
      <x:c r="F42" s="193"/>
      <x:c r="G42" s="193"/>
      <x:c r="H42" s="193"/>
    </x:row>
    <x:row r="43" ht="28" customHeight="1">
      <x:c r="A43" s="194" t="str">
        <x:v>6</x:v>
      </x:c>
      <x:c r="B43" s="195" t="str">
        <x:v>评审通过后再归档GitHub并进入0-5 Trace与实验方案设计</x:v>
      </x:c>
      <x:c r="C43" s="195"/>
      <x:c r="D43" s="195"/>
      <x:c r="E43" s="195"/>
      <x:c r="F43" s="195"/>
      <x:c r="G43" s="195"/>
      <x:c r="H43" s="195"/>
    </x:row>
    <x:row r="44">
      <x:c r="A44" s="157"/>
      <x:c r="B44" s="157"/>
      <x:c r="C44" s="157"/>
      <x:c r="D44" s="157"/>
      <x:c r="E44" s="157"/>
      <x:c r="F44" s="157"/>
      <x:c r="G44" s="157"/>
      <x:c r="H44" s="157"/>
    </x:row>
    <x:row r="45" ht="22" customHeight="1">
      <x:c r="A45" s="196" t="str">
        <x:v>评审提示：本工作簿用于0-4阶段决策，不代表项目已进入系统实现。</x:v>
      </x:c>
      <x:c r="B45" s="196"/>
      <x:c r="C45" s="196"/>
      <x:c r="D45" s="196"/>
      <x:c r="E45" s="196"/>
      <x:c r="F45" s="196"/>
      <x:c r="G45" s="196"/>
      <x:c r="H45" s="196"/>
    </x:row>
  </x:sheetData>
  <x:mergeCells>
    <x:mergeCell ref="A1:H1"/>
    <x:mergeCell ref="A2:H2"/>
    <x:mergeCell ref="A4:B4"/>
    <x:mergeCell ref="C4:D4"/>
    <x:mergeCell ref="E4:F4"/>
    <x:mergeCell ref="G4:H4"/>
    <x:mergeCell ref="A5:B6"/>
    <x:mergeCell ref="C5:D6"/>
    <x:mergeCell ref="E5:F6"/>
    <x:mergeCell ref="G5:H6"/>
    <x:mergeCell ref="A8:H8"/>
    <x:mergeCell ref="A9:H11"/>
    <x:mergeCell ref="A13:H13"/>
    <x:mergeCell ref="A14:H17"/>
    <x:mergeCell ref="A37:H37"/>
    <x:mergeCell ref="B38:H38"/>
    <x:mergeCell ref="B39:H39"/>
    <x:mergeCell ref="B40:H40"/>
    <x:mergeCell ref="B41:H41"/>
    <x:mergeCell ref="B42:H42"/>
    <x:mergeCell ref="B43:H43"/>
    <x:mergeCell ref="A45:H45"/>
  </x:mergeCells>
  <x:pageMargins left="0.7" right="0.7" top="0.75" bottom="0.75" header="0.3" footer="0.3"/>
  <x:drawing xmlns:r="http://schemas.openxmlformats.org/officeDocument/2006/relationships" r:id="Rc4b4fcdc3de04ecd"/>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7" hidden="0" customWidth="1"/>
    <x:col min="3" max="3" width="9" hidden="0" customWidth="1"/>
    <x:col min="4" max="4" width="8" hidden="0" customWidth="1"/>
    <x:col min="5" max="5" width="22" hidden="0" customWidth="1"/>
    <x:col min="6" max="6" width="45"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2" hidden="0" customWidth="1"/>
    <x:col min="15" max="15" width="12" hidden="0" customWidth="1"/>
    <x:col min="16" max="16" width="12" hidden="0" customWidth="1"/>
    <x:col min="17" max="17" width="36" hidden="0" customWidth="1"/>
    <x:col min="18" max="18" width="36" hidden="0" customWidth="1"/>
  </x:cols>
  <x:sheetData>
    <x:row r="1" ht="30" customHeight="1">
      <x:c r="A1" s="184" t="str">
        <x:v>编号</x:v>
      </x:c>
      <x:c r="B1" s="197" t="str">
        <x:v>资料集</x:v>
      </x:c>
      <x:c r="C1" s="197" t="str">
        <x:v>优先级</x:v>
      </x:c>
      <x:c r="D1" s="197" t="str">
        <x:v>年份</x:v>
      </x:c>
      <x:c r="E1" s="197" t="str">
        <x:v>类别</x:v>
      </x:c>
      <x:c r="F1" s="197" t="str">
        <x:v>标题</x:v>
      </x:c>
      <x:c r="G1" s="197" t="str">
        <x:v>项目角色</x:v>
      </x:c>
      <x:c r="H1" s="197" t="str">
        <x:v>方法族</x:v>
      </x:c>
      <x:c r="I1" s="197" t="str">
        <x:v>工作负载</x:v>
      </x:c>
      <x:c r="J1" s="197" t="str">
        <x:v>复用范围</x:v>
      </x:c>
      <x:c r="K1" s="197" t="str">
        <x:v>存储层级</x:v>
      </x:c>
      <x:c r="L1" s="197" t="str">
        <x:v>评测证据</x:v>
      </x:c>
      <x:c r="M1" s="197" t="str">
        <x:v>项目局限</x:v>
      </x:c>
      <x:c r="N1" s="197" t="str">
        <x:v>研究空白标签</x:v>
      </x:c>
      <x:c r="O1" s="197" t="str">
        <x:v>相关度</x:v>
      </x:c>
      <x:c r="P1" s="197" t="str">
        <x:v>证据置信度</x:v>
      </x:c>
      <x:c r="Q1" s="197" t="str">
        <x:v>官方链接</x:v>
      </x:c>
      <x:c r="R1" s="185" t="str">
        <x:v>代码/数据链接</x:v>
      </x:c>
    </x:row>
    <x:row r="2" ht="54" customHeight="1">
      <x:c r="A2" s="191" t="str">
        <x:v>P01</x:v>
      </x:c>
      <x:c r="B2" s="191" t="str">
        <x:v>既有76篇资料包</x:v>
      </x:c>
      <x:c r="C2" s="191" t="str">
        <x:v>A</x:v>
      </x:c>
      <x:c r="D2" s="198" t="n">
        <x:v>2023</x:v>
      </x:c>
      <x:c r="E2" s="191" t="str">
        <x:v>Code Agent工作负载与基准</x:v>
      </x:c>
      <x:c r="F2" s="186" t="str">
        <x:v>SWE-bench: Can Language Models Resolve Real-World GitHub Issues?</x:v>
      </x:c>
      <x:c r="G2" s="186" t="str">
        <x:v>真实仓库级问题与长上下文需求基准</x:v>
      </x:c>
      <x:c r="H2" s="186" t="str">
        <x:v>Code Agent工作负载/基准</x:v>
      </x:c>
      <x:c r="I2" s="186" t="str">
        <x:v>仓库级/多轮Coding Agent</x:v>
      </x:c>
      <x:c r="J2" s="186" t="str">
        <x:v>工作负载证据，非KV机制</x:v>
      </x:c>
      <x:c r="K2" s="186" t="str">
        <x:v>非主要研究对象</x:v>
      </x:c>
      <x:c r="L2" s="186" t="str">
        <x:v>已有本地PDF</x:v>
      </x:c>
      <x:c r="M2" s="186" t="str">
        <x:v>刻画任务、轨迹或上下文需求，但通常不提供跨层KV保留与重算联合策略。</x:v>
      </x:c>
      <x:c r="N2" s="199" t="str">
        <x:v>G8 适用边界</x:v>
      </x:c>
      <x:c r="O2" s="199" t="str">
        <x:v>中</x:v>
      </x:c>
      <x:c r="P2" s="199" t="str">
        <x:v>高</x:v>
      </x:c>
      <x:c r="Q2" s="200" t="str">
        <x:v>https://arxiv.org/abs/2310.06770</x:v>
      </x:c>
      <x:c r="R2" s="200" t="str"/>
    </x:row>
    <x:row r="3" ht="54" customHeight="1">
      <x:c r="A3" s="193" t="str">
        <x:v>P02</x:v>
      </x:c>
      <x:c r="B3" s="193" t="str">
        <x:v>既有76篇资料包</x:v>
      </x:c>
      <x:c r="C3" s="193" t="str">
        <x:v>A</x:v>
      </x:c>
      <x:c r="D3" s="201" t="n">
        <x:v>2024</x:v>
      </x:c>
      <x:c r="E3" s="193" t="str">
        <x:v>Code Agent工作负载与基准</x:v>
      </x:c>
      <x:c r="F3" s="188" t="str">
        <x:v>SWE-agent: Agent-Computer Interfaces Enable Automated Software Engineering</x:v>
      </x:c>
      <x:c r="G3" s="188" t="str">
        <x:v>工具闭环与Agent计算机接口基线</x:v>
      </x:c>
      <x:c r="H3" s="188" t="str">
        <x:v>Code Agent工作负载/基准</x:v>
      </x:c>
      <x:c r="I3" s="188" t="str">
        <x:v>仓库级/多轮Coding Agent</x:v>
      </x:c>
      <x:c r="J3" s="188" t="str">
        <x:v>工作负载证据，非KV机制</x:v>
      </x:c>
      <x:c r="K3" s="188" t="str">
        <x:v>非主要研究对象</x:v>
      </x:c>
      <x:c r="L3" s="188" t="str">
        <x:v>已有本地PDF</x:v>
      </x:c>
      <x:c r="M3" s="188" t="str">
        <x:v>刻画任务、轨迹或上下文需求，但通常不提供跨层KV保留与重算联合策略。</x:v>
      </x:c>
      <x:c r="N3" s="202" t="str">
        <x:v>G8 适用边界</x:v>
      </x:c>
      <x:c r="O3" s="202" t="str">
        <x:v>中</x:v>
      </x:c>
      <x:c r="P3" s="202" t="str">
        <x:v>高</x:v>
      </x:c>
      <x:c r="Q3" s="203" t="str">
        <x:v>https://arxiv.org/abs/2405.15793</x:v>
      </x:c>
      <x:c r="R3" s="203" t="str"/>
    </x:row>
    <x:row r="4" ht="54" customHeight="1">
      <x:c r="A4" s="193" t="str">
        <x:v>P03</x:v>
      </x:c>
      <x:c r="B4" s="193" t="str">
        <x:v>既有76篇资料包</x:v>
      </x:c>
      <x:c r="C4" s="193" t="str">
        <x:v>A</x:v>
      </x:c>
      <x:c r="D4" s="201" t="n">
        <x:v>2024</x:v>
      </x:c>
      <x:c r="E4" s="193" t="str">
        <x:v>Code Agent工作负载与基准</x:v>
      </x:c>
      <x:c r="F4" s="188" t="str">
        <x:v>OpenHands: An Open Platform for AI Software Developers as Generalist Agents</x:v>
      </x:c>
      <x:c r="G4" s="188" t="str">
        <x:v>通用软件开发Agent平台与轨迹结构</x:v>
      </x:c>
      <x:c r="H4" s="188" t="str">
        <x:v>Code Agent工作负载/基准</x:v>
      </x:c>
      <x:c r="I4" s="188" t="str">
        <x:v>仓库级/多轮Coding Agent</x:v>
      </x:c>
      <x:c r="J4" s="188" t="str">
        <x:v>工作负载证据，非KV机制</x:v>
      </x:c>
      <x:c r="K4" s="188" t="str">
        <x:v>非主要研究对象</x:v>
      </x:c>
      <x:c r="L4" s="188" t="str">
        <x:v>已有本地PDF</x:v>
      </x:c>
      <x:c r="M4" s="188" t="str">
        <x:v>刻画任务、轨迹或上下文需求，但通常不提供跨层KV保留与重算联合策略。</x:v>
      </x:c>
      <x:c r="N4" s="202" t="str">
        <x:v>G8 适用边界</x:v>
      </x:c>
      <x:c r="O4" s="202" t="str">
        <x:v>中</x:v>
      </x:c>
      <x:c r="P4" s="202" t="str">
        <x:v>高</x:v>
      </x:c>
      <x:c r="Q4" s="203" t="str">
        <x:v>https://arxiv.org/abs/2407.16741</x:v>
      </x:c>
      <x:c r="R4" s="203" t="str"/>
    </x:row>
    <x:row r="5" ht="54" customHeight="1">
      <x:c r="A5" s="193" t="str">
        <x:v>P04</x:v>
      </x:c>
      <x:c r="B5" s="193" t="str">
        <x:v>既有76篇资料包</x:v>
      </x:c>
      <x:c r="C5" s="193" t="str">
        <x:v>A</x:v>
      </x:c>
      <x:c r="D5" s="201" t="n">
        <x:v>2024</x:v>
      </x:c>
      <x:c r="E5" s="193" t="str">
        <x:v>Code Agent工作负载与基准</x:v>
      </x:c>
      <x:c r="F5" s="188" t="str">
        <x:v>Agentless: Demystifying LLM-based Software Engineering Agents</x:v>
      </x:c>
      <x:c r="G5" s="188" t="str">
        <x:v>非Agent式定位修复验证对照基线</x:v>
      </x:c>
      <x:c r="H5" s="188" t="str">
        <x:v>Code Agent工作负载/基准</x:v>
      </x:c>
      <x:c r="I5" s="188" t="str">
        <x:v>仓库级/多轮Coding Agent</x:v>
      </x:c>
      <x:c r="J5" s="188" t="str">
        <x:v>工作负载证据，非KV机制</x:v>
      </x:c>
      <x:c r="K5" s="188" t="str">
        <x:v>非主要研究对象</x:v>
      </x:c>
      <x:c r="L5" s="188" t="str">
        <x:v>已有本地PDF</x:v>
      </x:c>
      <x:c r="M5" s="188" t="str">
        <x:v>刻画任务、轨迹或上下文需求，但通常不提供跨层KV保留与重算联合策略。</x:v>
      </x:c>
      <x:c r="N5" s="202" t="str">
        <x:v>G8 适用边界</x:v>
      </x:c>
      <x:c r="O5" s="202" t="str">
        <x:v>中</x:v>
      </x:c>
      <x:c r="P5" s="202" t="str">
        <x:v>高</x:v>
      </x:c>
      <x:c r="Q5" s="203" t="str">
        <x:v>https://arxiv.org/abs/2407.01489</x:v>
      </x:c>
      <x:c r="R5" s="203" t="str"/>
    </x:row>
    <x:row r="6" ht="54" customHeight="1">
      <x:c r="A6" s="193" t="str">
        <x:v>P05</x:v>
      </x:c>
      <x:c r="B6" s="193" t="str">
        <x:v>既有76篇资料包</x:v>
      </x:c>
      <x:c r="C6" s="193" t="str">
        <x:v>A</x:v>
      </x:c>
      <x:c r="D6" s="201" t="n">
        <x:v>2025</x:v>
      </x:c>
      <x:c r="E6" s="193" t="str">
        <x:v>Code Agent工作负载与基准</x:v>
      </x:c>
      <x:c r="F6" s="188" t="str">
        <x:v>SWE-bench Goes Live!</x:v>
      </x:c>
      <x:c r="G6" s="188" t="str">
        <x:v>持续更新的真实仓库级评测与污染控制</x:v>
      </x:c>
      <x:c r="H6" s="188" t="str">
        <x:v>Code Agent工作负载/基准</x:v>
      </x:c>
      <x:c r="I6" s="188" t="str">
        <x:v>仓库级/多轮Coding Agent</x:v>
      </x:c>
      <x:c r="J6" s="188" t="str">
        <x:v>工作负载证据，非KV机制</x:v>
      </x:c>
      <x:c r="K6" s="188" t="str">
        <x:v>非主要研究对象</x:v>
      </x:c>
      <x:c r="L6" s="188" t="str">
        <x:v>官方论文入口与摘要</x:v>
      </x:c>
      <x:c r="M6" s="188" t="str">
        <x:v>刻画任务、轨迹或上下文需求，但通常不提供跨层KV保留与重算联合策略。</x:v>
      </x:c>
      <x:c r="N6" s="202" t="str">
        <x:v>G8 适用边界</x:v>
      </x:c>
      <x:c r="O6" s="202" t="str">
        <x:v>中</x:v>
      </x:c>
      <x:c r="P6" s="202" t="str">
        <x:v>中高</x:v>
      </x:c>
      <x:c r="Q6" s="203" t="str">
        <x:v>https://arxiv.org/abs/2505.23419</x:v>
      </x:c>
      <x:c r="R6" s="203" t="str"/>
    </x:row>
    <x:row r="7" ht="54" customHeight="1">
      <x:c r="A7" s="193" t="str">
        <x:v>P06</x:v>
      </x:c>
      <x:c r="B7" s="193" t="str">
        <x:v>既有76篇资料包</x:v>
      </x:c>
      <x:c r="C7" s="193" t="str">
        <x:v>A</x:v>
      </x:c>
      <x:c r="D7" s="201" t="n">
        <x:v>2025</x:v>
      </x:c>
      <x:c r="E7" s="193" t="str">
        <x:v>Code Agent工作负载与基准</x:v>
      </x:c>
      <x:c r="F7" s="188" t="str">
        <x:v>Multi-SWE-bench: A Multilingual Benchmark for Issue Resolving</x:v>
      </x:c>
      <x:c r="G7" s="188" t="str">
        <x:v>多语言仓库任务与Agent比较</x:v>
      </x:c>
      <x:c r="H7" s="188" t="str">
        <x:v>Code Agent工作负载/基准</x:v>
      </x:c>
      <x:c r="I7" s="188" t="str">
        <x:v>仓库级/多轮Coding Agent</x:v>
      </x:c>
      <x:c r="J7" s="188" t="str">
        <x:v>工作负载证据，非KV机制</x:v>
      </x:c>
      <x:c r="K7" s="188" t="str">
        <x:v>非主要研究对象</x:v>
      </x:c>
      <x:c r="L7" s="188" t="str">
        <x:v>已有本地PDF</x:v>
      </x:c>
      <x:c r="M7" s="188" t="str">
        <x:v>刻画任务、轨迹或上下文需求，但通常不提供跨层KV保留与重算联合策略。</x:v>
      </x:c>
      <x:c r="N7" s="202" t="str">
        <x:v>G8 适用边界</x:v>
      </x:c>
      <x:c r="O7" s="202" t="str">
        <x:v>中</x:v>
      </x:c>
      <x:c r="P7" s="202" t="str">
        <x:v>高</x:v>
      </x:c>
      <x:c r="Q7" s="203" t="str">
        <x:v>https://arxiv.org/abs/2504.02605</x:v>
      </x:c>
      <x:c r="R7" s="203" t="str"/>
    </x:row>
    <x:row r="8" ht="54" customHeight="1">
      <x:c r="A8" s="193" t="str">
        <x:v>P07</x:v>
      </x:c>
      <x:c r="B8" s="193" t="str">
        <x:v>既有76篇资料包</x:v>
      </x:c>
      <x:c r="C8" s="193" t="str">
        <x:v>A</x:v>
      </x:c>
      <x:c r="D8" s="201" t="n">
        <x:v>2024</x:v>
      </x:c>
      <x:c r="E8" s="193" t="str">
        <x:v>Code Agent工作负载与基准</x:v>
      </x:c>
      <x:c r="F8" s="188" t="str">
        <x:v>Training Software Engineering Agents and Verifiers with SWE-Gym</x:v>
      </x:c>
      <x:c r="G8" s="188" t="str">
        <x:v>软件工程Agent训练环境与轨迹数据</x:v>
      </x:c>
      <x:c r="H8" s="188" t="str">
        <x:v>Code Agent工作负载/基准</x:v>
      </x:c>
      <x:c r="I8" s="188" t="str">
        <x:v>仓库级/多轮Coding Agent</x:v>
      </x:c>
      <x:c r="J8" s="188" t="str">
        <x:v>工作负载证据，非KV机制</x:v>
      </x:c>
      <x:c r="K8" s="188" t="str">
        <x:v>非主要研究对象</x:v>
      </x:c>
      <x:c r="L8" s="188" t="str">
        <x:v>已有本地PDF</x:v>
      </x:c>
      <x:c r="M8" s="188" t="str">
        <x:v>刻画任务、轨迹或上下文需求，但通常不提供跨层KV保留与重算联合策略。</x:v>
      </x:c>
      <x:c r="N8" s="202" t="str">
        <x:v>G8 适用边界</x:v>
      </x:c>
      <x:c r="O8" s="202" t="str">
        <x:v>中</x:v>
      </x:c>
      <x:c r="P8" s="202" t="str">
        <x:v>高</x:v>
      </x:c>
      <x:c r="Q8" s="203" t="str">
        <x:v>https://arxiv.org/abs/2412.21139</x:v>
      </x:c>
      <x:c r="R8" s="203" t="str"/>
    </x:row>
    <x:row r="9" ht="54" customHeight="1">
      <x:c r="A9" s="193" t="str">
        <x:v>P08</x:v>
      </x:c>
      <x:c r="B9" s="193" t="str">
        <x:v>既有76篇资料包</x:v>
      </x:c>
      <x:c r="C9" s="193" t="str">
        <x:v>B</x:v>
      </x:c>
      <x:c r="D9" s="201" t="n">
        <x:v>2023</x:v>
      </x:c>
      <x:c r="E9" s="193" t="str">
        <x:v>Code Agent工作负载与基准</x:v>
      </x:c>
      <x:c r="F9" s="188" t="str">
        <x:v>RepoBench: Benchmarking Repository-Level Code Auto-Completion Systems</x:v>
      </x:c>
      <x:c r="G9" s="188" t="str">
        <x:v>仓库级检索补全工作负载</x:v>
      </x:c>
      <x:c r="H9" s="188" t="str">
        <x:v>Code Agent工作负载/基准</x:v>
      </x:c>
      <x:c r="I9" s="188" t="str">
        <x:v>仓库级代码任务</x:v>
      </x:c>
      <x:c r="J9" s="188" t="str">
        <x:v>工作负载证据，非KV机制</x:v>
      </x:c>
      <x:c r="K9" s="188" t="str">
        <x:v>非主要研究对象</x:v>
      </x:c>
      <x:c r="L9" s="188" t="str">
        <x:v>官方论文入口与摘要</x:v>
      </x:c>
      <x:c r="M9" s="188" t="str">
        <x:v>刻画任务、轨迹或上下文需求，但通常不提供跨层KV保留与重算联合策略。</x:v>
      </x:c>
      <x:c r="N9" s="202" t="str">
        <x:v>G8 适用边界</x:v>
      </x:c>
      <x:c r="O9" s="202" t="str">
        <x:v>中</x:v>
      </x:c>
      <x:c r="P9" s="202" t="str">
        <x:v>中</x:v>
      </x:c>
      <x:c r="Q9" s="203" t="str">
        <x:v>https://arxiv.org/abs/2306.03091</x:v>
      </x:c>
      <x:c r="R9" s="203" t="str"/>
    </x:row>
    <x:row r="10" ht="54" customHeight="1">
      <x:c r="A10" s="193" t="str">
        <x:v>P09</x:v>
      </x:c>
      <x:c r="B10" s="193" t="str">
        <x:v>既有76篇资料包</x:v>
      </x:c>
      <x:c r="C10" s="193" t="str">
        <x:v>B</x:v>
      </x:c>
      <x:c r="D10" s="201" t="n">
        <x:v>2023</x:v>
      </x:c>
      <x:c r="E10" s="193" t="str">
        <x:v>Code Agent工作负载与基准</x:v>
      </x:c>
      <x:c r="F10" s="188" t="str">
        <x:v>RepoCoder: Repository-Level Code Completion Through Iterative Retrieval and Generation</x:v>
      </x:c>
      <x:c r="G10" s="188" t="str">
        <x:v>迭代检索生成与上下文构建</x:v>
      </x:c>
      <x:c r="H10" s="188" t="str">
        <x:v>Code Agent工作负载/基准</x:v>
      </x:c>
      <x:c r="I10" s="188" t="str">
        <x:v>仓库级代码任务</x:v>
      </x:c>
      <x:c r="J10" s="188" t="str">
        <x:v>工作负载证据，非KV机制</x:v>
      </x:c>
      <x:c r="K10" s="188" t="str">
        <x:v>非主要研究对象</x:v>
      </x:c>
      <x:c r="L10" s="188" t="str">
        <x:v>官方论文入口与摘要</x:v>
      </x:c>
      <x:c r="M10" s="188" t="str">
        <x:v>刻画任务、轨迹或上下文需求，但通常不提供跨层KV保留与重算联合策略。</x:v>
      </x:c>
      <x:c r="N10" s="202" t="str">
        <x:v>G8 适用边界</x:v>
      </x:c>
      <x:c r="O10" s="202" t="str">
        <x:v>中</x:v>
      </x:c>
      <x:c r="P10" s="202" t="str">
        <x:v>中</x:v>
      </x:c>
      <x:c r="Q10" s="203" t="str">
        <x:v>https://arxiv.org/abs/2303.12570</x:v>
      </x:c>
      <x:c r="R10" s="203" t="str"/>
    </x:row>
    <x:row r="11" ht="54" customHeight="1">
      <x:c r="A11" s="193" t="str">
        <x:v>P10</x:v>
      </x:c>
      <x:c r="B11" s="193" t="str">
        <x:v>既有76篇资料包</x:v>
      </x:c>
      <x:c r="C11" s="193" t="str">
        <x:v>B</x:v>
      </x:c>
      <x:c r="D11" s="201" t="n">
        <x:v>2024</x:v>
      </x:c>
      <x:c r="E11" s="193" t="str">
        <x:v>Code Agent工作负载与基准</x:v>
      </x:c>
      <x:c r="F11" s="188" t="str">
        <x:v>REPOFUSE: Repository-Level Code Completion with Fused Dual Context</x:v>
      </x:c>
      <x:c r="G11" s="188" t="str">
        <x:v>双上下文融合与Prompt压缩</x:v>
      </x:c>
      <x:c r="H11" s="188" t="str">
        <x:v>Code Agent工作负载/基准</x:v>
      </x:c>
      <x:c r="I11" s="188" t="str">
        <x:v>仓库级/多轮Coding Agent</x:v>
      </x:c>
      <x:c r="J11" s="188" t="str">
        <x:v>工作负载证据，非KV机制</x:v>
      </x:c>
      <x:c r="K11" s="188" t="str">
        <x:v>非主要研究对象</x:v>
      </x:c>
      <x:c r="L11" s="188" t="str">
        <x:v>已有本地PDF</x:v>
      </x:c>
      <x:c r="M11" s="188" t="str">
        <x:v>刻画任务、轨迹或上下文需求，但通常不提供跨层KV保留与重算联合策略。</x:v>
      </x:c>
      <x:c r="N11" s="202" t="str">
        <x:v>G8 适用边界</x:v>
      </x:c>
      <x:c r="O11" s="202" t="str">
        <x:v>中</x:v>
      </x:c>
      <x:c r="P11" s="202" t="str">
        <x:v>中</x:v>
      </x:c>
      <x:c r="Q11" s="203" t="str">
        <x:v>https://arxiv.org/abs/2402.14323</x:v>
      </x:c>
      <x:c r="R11" s="203" t="str"/>
    </x:row>
    <x:row r="12" ht="54" customHeight="1">
      <x:c r="A12" s="193" t="str">
        <x:v>P11</x:v>
      </x:c>
      <x:c r="B12" s="193" t="str">
        <x:v>既有76篇资料包</x:v>
      </x:c>
      <x:c r="C12" s="193" t="str">
        <x:v>B</x:v>
      </x:c>
      <x:c r="D12" s="201" t="n">
        <x:v>2024</x:v>
      </x:c>
      <x:c r="E12" s="193" t="str">
        <x:v>Code Agent工作负载与基准</x:v>
      </x:c>
      <x:c r="F12" s="188" t="str">
        <x:v>GraphCoder: Enhancing Repository-Level Code Completion via Code Context Graph-based Retrieval and Language Model</x:v>
      </x:c>
      <x:c r="G12" s="188" t="str">
        <x:v>代码图检索与仓库上下文选择</x:v>
      </x:c>
      <x:c r="H12" s="188" t="str">
        <x:v>Code Agent工作负载/基准</x:v>
      </x:c>
      <x:c r="I12" s="188" t="str">
        <x:v>仓库级代码任务</x:v>
      </x:c>
      <x:c r="J12" s="188" t="str">
        <x:v>工作负载证据，非KV机制</x:v>
      </x:c>
      <x:c r="K12" s="188" t="str">
        <x:v>非主要研究对象</x:v>
      </x:c>
      <x:c r="L12" s="188" t="str">
        <x:v>已有本地PDF</x:v>
      </x:c>
      <x:c r="M12" s="188" t="str">
        <x:v>刻画任务、轨迹或上下文需求，但通常不提供跨层KV保留与重算联合策略。</x:v>
      </x:c>
      <x:c r="N12" s="202" t="str">
        <x:v>G8 适用边界</x:v>
      </x:c>
      <x:c r="O12" s="202" t="str">
        <x:v>中</x:v>
      </x:c>
      <x:c r="P12" s="202" t="str">
        <x:v>中</x:v>
      </x:c>
      <x:c r="Q12" s="203" t="str">
        <x:v>https://arxiv.org/abs/2406.07003</x:v>
      </x:c>
      <x:c r="R12" s="203" t="str"/>
    </x:row>
    <x:row r="13" ht="54" customHeight="1">
      <x:c r="A13" s="193" t="str">
        <x:v>P12</x:v>
      </x:c>
      <x:c r="B13" s="193" t="str">
        <x:v>既有76篇资料包</x:v>
      </x:c>
      <x:c r="C13" s="193" t="str">
        <x:v>A</x:v>
      </x:c>
      <x:c r="D13" s="201" t="n">
        <x:v>2026</x:v>
      </x:c>
      <x:c r="E13" s="193" t="str">
        <x:v>Code Agent工作负载与基准</x:v>
      </x:c>
      <x:c r="F13" s="188" t="str">
        <x:v>ContextBench: A Benchmark for Context Retrieval in Coding Agents</x:v>
      </x:c>
      <x:c r="G13" s="188" t="str">
        <x:v>编码Agent上下文检索轨迹诊断</x:v>
      </x:c>
      <x:c r="H13" s="188" t="str">
        <x:v>Code Agent工作负载/基准</x:v>
      </x:c>
      <x:c r="I13" s="188" t="str">
        <x:v>仓库级/多轮Coding Agent</x:v>
      </x:c>
      <x:c r="J13" s="188" t="str">
        <x:v>工作负载证据，非KV机制</x:v>
      </x:c>
      <x:c r="K13" s="188" t="str">
        <x:v>非主要研究对象</x:v>
      </x:c>
      <x:c r="L13" s="188" t="str">
        <x:v>已有本地PDF</x:v>
      </x:c>
      <x:c r="M13" s="188" t="str">
        <x:v>刻画任务、轨迹或上下文需求，但通常不提供跨层KV保留与重算联合策略。</x:v>
      </x:c>
      <x:c r="N13" s="202" t="str">
        <x:v>G8 适用边界</x:v>
      </x:c>
      <x:c r="O13" s="202" t="str">
        <x:v>中</x:v>
      </x:c>
      <x:c r="P13" s="202" t="str">
        <x:v>高</x:v>
      </x:c>
      <x:c r="Q13" s="203" t="str">
        <x:v>https://arxiv.org/abs/2602.05892</x:v>
      </x:c>
      <x:c r="R13" s="203" t="str"/>
    </x:row>
    <x:row r="14" ht="54" customHeight="1">
      <x:c r="A14" s="193" t="str">
        <x:v>P13</x:v>
      </x:c>
      <x:c r="B14" s="193" t="str">
        <x:v>既有76篇资料包</x:v>
      </x:c>
      <x:c r="C14" s="193" t="str">
        <x:v>B</x:v>
      </x:c>
      <x:c r="D14" s="201" t="n">
        <x:v>2026</x:v>
      </x:c>
      <x:c r="E14" s="193" t="str">
        <x:v>Code Agent工作负载与基准</x:v>
      </x:c>
      <x:c r="F14" s="188" t="str">
        <x:v>SWE-Explore: Benchmarking How Coding Agents Explore Repositories</x:v>
      </x:c>
      <x:c r="G14" s="188" t="str">
        <x:v>仓库探索能力与证据定位评测</x:v>
      </x:c>
      <x:c r="H14" s="188" t="str">
        <x:v>Code Agent工作负载/基准</x:v>
      </x:c>
      <x:c r="I14" s="188" t="str">
        <x:v>仓库级/多轮Coding Agent</x:v>
      </x:c>
      <x:c r="J14" s="188" t="str">
        <x:v>工作负载证据，非KV机制</x:v>
      </x:c>
      <x:c r="K14" s="188" t="str">
        <x:v>非主要研究对象</x:v>
      </x:c>
      <x:c r="L14" s="188" t="str">
        <x:v>已有本地PDF</x:v>
      </x:c>
      <x:c r="M14" s="188" t="str">
        <x:v>刻画任务、轨迹或上下文需求，但通常不提供跨层KV保留与重算联合策略。</x:v>
      </x:c>
      <x:c r="N14" s="202" t="str">
        <x:v>G8 适用边界</x:v>
      </x:c>
      <x:c r="O14" s="202" t="str">
        <x:v>中</x:v>
      </x:c>
      <x:c r="P14" s="202" t="str">
        <x:v>中</x:v>
      </x:c>
      <x:c r="Q14" s="203" t="str">
        <x:v>https://arxiv.org/abs/2606.07297</x:v>
      </x:c>
      <x:c r="R14" s="203" t="str"/>
    </x:row>
    <x:row r="15" ht="54" customHeight="1">
      <x:c r="A15" s="193" t="str">
        <x:v>P14</x:v>
      </x:c>
      <x:c r="B15" s="193" t="str">
        <x:v>既有76篇资料包</x:v>
      </x:c>
      <x:c r="C15" s="193" t="str">
        <x:v>B</x:v>
      </x:c>
      <x:c r="D15" s="201" t="n">
        <x:v>2025</x:v>
      </x:c>
      <x:c r="E15" s="193" t="str">
        <x:v>Code Agent工作负载与基准</x:v>
      </x:c>
      <x:c r="F15" s="188" t="str">
        <x:v>SWE-EVO: Benchmarking Coding Agents in Long-Horizon Software Evolution Scenarios</x:v>
      </x:c>
      <x:c r="G15" s="188" t="str">
        <x:v>长周期软件演化Agent基准</x:v>
      </x:c>
      <x:c r="H15" s="188" t="str">
        <x:v>Code Agent工作负载/基准</x:v>
      </x:c>
      <x:c r="I15" s="188" t="str">
        <x:v>仓库级/多轮Coding Agent</x:v>
      </x:c>
      <x:c r="J15" s="188" t="str">
        <x:v>工作负载证据，非KV机制</x:v>
      </x:c>
      <x:c r="K15" s="188" t="str">
        <x:v>非主要研究对象</x:v>
      </x:c>
      <x:c r="L15" s="188" t="str">
        <x:v>官方论文入口与摘要</x:v>
      </x:c>
      <x:c r="M15" s="188" t="str">
        <x:v>刻画任务、轨迹或上下文需求，但通常不提供跨层KV保留与重算联合策略。</x:v>
      </x:c>
      <x:c r="N15" s="202" t="str">
        <x:v>G8 适用边界</x:v>
      </x:c>
      <x:c r="O15" s="202" t="str">
        <x:v>中</x:v>
      </x:c>
      <x:c r="P15" s="202" t="str">
        <x:v>中</x:v>
      </x:c>
      <x:c r="Q15" s="203" t="str">
        <x:v>https://arxiv.org/abs/2512.18470</x:v>
      </x:c>
      <x:c r="R15" s="203" t="str"/>
    </x:row>
    <x:row r="16" ht="54" customHeight="1">
      <x:c r="A16" s="193" t="str">
        <x:v>P15</x:v>
      </x:c>
      <x:c r="B16" s="193" t="str">
        <x:v>既有76篇资料包</x:v>
      </x:c>
      <x:c r="C16" s="193" t="str">
        <x:v>A</x:v>
      </x:c>
      <x:c r="D16" s="201" t="n">
        <x:v>2026</x:v>
      </x:c>
      <x:c r="E16" s="193" t="str">
        <x:v>Code Agent工作负载与基准</x:v>
      </x:c>
      <x:c r="F16" s="188" t="str">
        <x:v>Don't Break the Cache: An Evaluation of Prompt Caching for Long-Horizon Agentic Tasks</x:v>
      </x:c>
      <x:c r="G16" s="188" t="str">
        <x:v>长周期Agent Prompt缓存成本评测</x:v>
      </x:c>
      <x:c r="H16" s="188" t="str">
        <x:v>长周期Agent Prompt缓存评测</x:v>
      </x:c>
      <x:c r="I16" s="188" t="str">
        <x:v>仓库级/多轮Coding Agent</x:v>
      </x:c>
      <x:c r="J16" s="188" t="str">
        <x:v>跨轮Prompt缓存</x:v>
      </x:c>
      <x:c r="K16" s="188" t="str">
        <x:v>非主要研究对象</x:v>
      </x:c>
      <x:c r="L16" s="188" t="str">
        <x:v>已有本地PDF</x:v>
      </x:c>
      <x:c r="M16" s="188" t="str">
        <x:v>直接评估Prompt缓存成本，但不覆盖本地GPU/DRAM/NVMe的系统决策。</x:v>
      </x:c>
      <x:c r="N16" s="202" t="str">
        <x:v>G4 成功任务成本</x:v>
      </x:c>
      <x:c r="O16" s="202" t="str">
        <x:v>高</x:v>
      </x:c>
      <x:c r="P16" s="202" t="str">
        <x:v>高</x:v>
      </x:c>
      <x:c r="Q16" s="203" t="str">
        <x:v>https://arxiv.org/abs/2601.06007</x:v>
      </x:c>
      <x:c r="R16" s="203" t="str"/>
    </x:row>
    <x:row r="17" ht="54" customHeight="1">
      <x:c r="A17" s="193" t="str">
        <x:v>P16</x:v>
      </x:c>
      <x:c r="B17" s="193" t="str">
        <x:v>既有76篇资料包</x:v>
      </x:c>
      <x:c r="C17" s="193" t="str">
        <x:v>B</x:v>
      </x:c>
      <x:c r="D17" s="201" t="n">
        <x:v>2025</x:v>
      </x:c>
      <x:c r="E17" s="193" t="str">
        <x:v>Code Agent工作负载与基准</x:v>
      </x:c>
      <x:c r="F17" s="188" t="str">
        <x:v>Reducing Cost of LLM Agents with Trajectory Reduction</x:v>
      </x:c>
      <x:c r="G17" s="188" t="str">
        <x:v>Agent轨迹缩减与成本控制</x:v>
      </x:c>
      <x:c r="H17" s="188" t="str">
        <x:v>Agent轨迹压缩</x:v>
      </x:c>
      <x:c r="I17" s="188" t="str">
        <x:v>仓库级/多轮Coding Agent</x:v>
      </x:c>
      <x:c r="J17" s="188" t="str">
        <x:v>工作负载证据，非KV机制</x:v>
      </x:c>
      <x:c r="K17" s="188" t="str">
        <x:v>非主要研究对象</x:v>
      </x:c>
      <x:c r="L17" s="188" t="str">
        <x:v>官方论文入口与摘要</x:v>
      </x:c>
      <x:c r="M17" s="188" t="str">
        <x:v>减少轨迹内容，不等价于安全KV复用或分层保留。</x:v>
      </x:c>
      <x:c r="N17" s="202" t="str">
        <x:v>G4 成功任务成本</x:v>
      </x:c>
      <x:c r="O17" s="202" t="str">
        <x:v>中</x:v>
      </x:c>
      <x:c r="P17" s="202" t="str">
        <x:v>中</x:v>
      </x:c>
      <x:c r="Q17" s="203" t="str">
        <x:v>https://arxiv.org/abs/2509.23586</x:v>
      </x:c>
      <x:c r="R17" s="203" t="str"/>
    </x:row>
    <x:row r="18" ht="54" customHeight="1">
      <x:c r="A18" s="193" t="str">
        <x:v>P17</x:v>
      </x:c>
      <x:c r="B18" s="193" t="str">
        <x:v>既有76篇资料包</x:v>
      </x:c>
      <x:c r="C18" s="193" t="str">
        <x:v>B</x:v>
      </x:c>
      <x:c r="D18" s="201" t="n">
        <x:v>2024</x:v>
      </x:c>
      <x:c r="E18" s="193" t="str">
        <x:v>Code Agent工作负载与基准</x:v>
      </x:c>
      <x:c r="F18" s="188" t="str">
        <x:v>SWE-bench Multimodal: Do AI Systems Generalize to Visual Software Domains?</x:v>
      </x:c>
      <x:c r="G18" s="188" t="str">
        <x:v>多模态软件工程任务扩展</x:v>
      </x:c>
      <x:c r="H18" s="188" t="str">
        <x:v>Code Agent工作负载/基准</x:v>
      </x:c>
      <x:c r="I18" s="188" t="str">
        <x:v>仓库级/多轮Coding Agent</x:v>
      </x:c>
      <x:c r="J18" s="188" t="str">
        <x:v>工作负载证据，非KV机制</x:v>
      </x:c>
      <x:c r="K18" s="188" t="str">
        <x:v>非主要研究对象</x:v>
      </x:c>
      <x:c r="L18" s="188" t="str">
        <x:v>已有本地PDF</x:v>
      </x:c>
      <x:c r="M18" s="188" t="str">
        <x:v>刻画任务、轨迹或上下文需求，但通常不提供跨层KV保留与重算联合策略。</x:v>
      </x:c>
      <x:c r="N18" s="202" t="str">
        <x:v>G8 适用边界</x:v>
      </x:c>
      <x:c r="O18" s="202" t="str">
        <x:v>中</x:v>
      </x:c>
      <x:c r="P18" s="202" t="str">
        <x:v>中</x:v>
      </x:c>
      <x:c r="Q18" s="203" t="str">
        <x:v>https://arxiv.org/abs/2410.03859</x:v>
      </x:c>
      <x:c r="R18" s="203" t="str"/>
    </x:row>
    <x:row r="19" ht="54" customHeight="1">
      <x:c r="A19" s="193" t="str">
        <x:v>P18</x:v>
      </x:c>
      <x:c r="B19" s="193" t="str">
        <x:v>既有76篇资料包</x:v>
      </x:c>
      <x:c r="C19" s="193" t="str">
        <x:v>B</x:v>
      </x:c>
      <x:c r="D19" s="201" t="n">
        <x:v>2026</x:v>
      </x:c>
      <x:c r="E19" s="193" t="str">
        <x:v>Code Agent工作负载与基准</x:v>
      </x:c>
      <x:c r="F19" s="188" t="str">
        <x:v>LongCLI-Bench: A Preliminary Benchmark and Study for Long-horizon Agentic Programming in Command-Line Interfaces</x:v>
      </x:c>
      <x:c r="G19" s="188" t="str">
        <x:v>长时命令行编码Agent工作负载</x:v>
      </x:c>
      <x:c r="H19" s="188" t="str">
        <x:v>Code Agent工作负载/基准</x:v>
      </x:c>
      <x:c r="I19" s="188" t="str">
        <x:v>仓库级/多轮Coding Agent</x:v>
      </x:c>
      <x:c r="J19" s="188" t="str">
        <x:v>工作负载证据，非KV机制</x:v>
      </x:c>
      <x:c r="K19" s="188" t="str">
        <x:v>非主要研究对象</x:v>
      </x:c>
      <x:c r="L19" s="188" t="str">
        <x:v>已有本地PDF</x:v>
      </x:c>
      <x:c r="M19" s="188" t="str">
        <x:v>刻画任务、轨迹或上下文需求，但通常不提供跨层KV保留与重算联合策略。</x:v>
      </x:c>
      <x:c r="N19" s="202" t="str">
        <x:v>G8 适用边界</x:v>
      </x:c>
      <x:c r="O19" s="202" t="str">
        <x:v>中</x:v>
      </x:c>
      <x:c r="P19" s="202" t="str">
        <x:v>中</x:v>
      </x:c>
      <x:c r="Q19" s="203" t="str">
        <x:v>https://arxiv.org/abs/2602.14337</x:v>
      </x:c>
      <x:c r="R19" s="203" t="str"/>
    </x:row>
    <x:row r="20" ht="54" customHeight="1">
      <x:c r="A20" s="193" t="str">
        <x:v>P19</x:v>
      </x:c>
      <x:c r="B20" s="193" t="str">
        <x:v>既有76篇资料包</x:v>
      </x:c>
      <x:c r="C20" s="193" t="str">
        <x:v>B</x:v>
      </x:c>
      <x:c r="D20" s="201" t="n">
        <x:v>2025</x:v>
      </x:c>
      <x:c r="E20" s="193" t="str">
        <x:v>Code Agent工作负载与基准</x:v>
      </x:c>
      <x:c r="F20" s="188" t="str">
        <x:v>Training Long-Context, Multi-Turn Software Engineering Agents with Reinforcement Learning</x:v>
      </x:c>
      <x:c r="G20" s="188" t="str">
        <x:v>长上下文多轮软件工程Agent训练</x:v>
      </x:c>
      <x:c r="H20" s="188" t="str">
        <x:v>Code Agent工作负载/基准</x:v>
      </x:c>
      <x:c r="I20" s="188" t="str">
        <x:v>仓库级/多轮Coding Agent</x:v>
      </x:c>
      <x:c r="J20" s="188" t="str">
        <x:v>工作负载证据，非KV机制</x:v>
      </x:c>
      <x:c r="K20" s="188" t="str">
        <x:v>非主要研究对象</x:v>
      </x:c>
      <x:c r="L20" s="188" t="str">
        <x:v>已有本地PDF</x:v>
      </x:c>
      <x:c r="M20" s="188" t="str">
        <x:v>刻画任务、轨迹或上下文需求，但通常不提供跨层KV保留与重算联合策略。</x:v>
      </x:c>
      <x:c r="N20" s="202" t="str">
        <x:v>G8 适用边界</x:v>
      </x:c>
      <x:c r="O20" s="202" t="str">
        <x:v>中</x:v>
      </x:c>
      <x:c r="P20" s="202" t="str">
        <x:v>中</x:v>
      </x:c>
      <x:c r="Q20" s="203" t="str">
        <x:v>https://arxiv.org/abs/2508.03501</x:v>
      </x:c>
      <x:c r="R20" s="203" t="str"/>
    </x:row>
    <x:row r="21" ht="54" customHeight="1">
      <x:c r="A21" s="193" t="str">
        <x:v>P20</x:v>
      </x:c>
      <x:c r="B21" s="193" t="str">
        <x:v>既有76篇资料包</x:v>
      </x:c>
      <x:c r="C21" s="193" t="str">
        <x:v>B</x:v>
      </x:c>
      <x:c r="D21" s="201" t="n">
        <x:v>2025</x:v>
      </x:c>
      <x:c r="E21" s="193" t="str">
        <x:v>Code Agent工作负载与基准</x:v>
      </x:c>
      <x:c r="F21" s="188" t="str">
        <x:v>SWE-smith: Scaling Data for Software Engineering Agents</x:v>
      </x:c>
      <x:c r="G21" s="188" t="str">
        <x:v>可规模化软件工程任务生成</x:v>
      </x:c>
      <x:c r="H21" s="188" t="str">
        <x:v>Code Agent工作负载/基准</x:v>
      </x:c>
      <x:c r="I21" s="188" t="str">
        <x:v>仓库级/多轮Coding Agent</x:v>
      </x:c>
      <x:c r="J21" s="188" t="str">
        <x:v>工作负载证据，非KV机制</x:v>
      </x:c>
      <x:c r="K21" s="188" t="str">
        <x:v>非主要研究对象</x:v>
      </x:c>
      <x:c r="L21" s="188" t="str">
        <x:v>已有本地PDF</x:v>
      </x:c>
      <x:c r="M21" s="188" t="str">
        <x:v>刻画任务、轨迹或上下文需求，但通常不提供跨层KV保留与重算联合策略。</x:v>
      </x:c>
      <x:c r="N21" s="202" t="str">
        <x:v>G8 适用边界</x:v>
      </x:c>
      <x:c r="O21" s="202" t="str">
        <x:v>中</x:v>
      </x:c>
      <x:c r="P21" s="202" t="str">
        <x:v>中</x:v>
      </x:c>
      <x:c r="Q21" s="203" t="str">
        <x:v>https://arxiv.org/abs/2504.21798</x:v>
      </x:c>
      <x:c r="R21" s="203" t="str"/>
    </x:row>
    <x:row r="22" ht="54" customHeight="1">
      <x:c r="A22" s="193" t="str">
        <x:v>P21</x:v>
      </x:c>
      <x:c r="B22" s="193" t="str">
        <x:v>既有76篇资料包</x:v>
      </x:c>
      <x:c r="C22" s="193" t="str">
        <x:v>A</x:v>
      </x:c>
      <x:c r="D22" s="201" t="n">
        <x:v>2023</x:v>
      </x:c>
      <x:c r="E22" s="193" t="str">
        <x:v>前缀缓存与上下文复用</x:v>
      </x:c>
      <x:c r="F22" s="188" t="str">
        <x:v>Efficient Memory Management for Large Language Model Serving with PagedAttention</x:v>
      </x:c>
      <x:c r="G22" s="188" t="str">
        <x:v>PagedAttention与GPU KV内存管理基线</x:v>
      </x:c>
      <x:c r="H22" s="188" t="str">
        <x:v>GPU KV内存管理</x:v>
      </x:c>
      <x:c r="I22" s="188" t="str">
        <x:v>通用LLM/RAG/Agent混合</x:v>
      </x:c>
      <x:c r="J22" s="188" t="str">
        <x:v>请求内分页KV</x:v>
      </x:c>
      <x:c r="K22" s="188" t="str">
        <x:v>GPU前缀KV为主</x:v>
      </x:c>
      <x:c r="L22" s="188" t="str">
        <x:v>已有本地PDF</x:v>
      </x:c>
      <x:c r="M22" s="188" t="str">
        <x:v>提供共享或重用机制，但多数未联合建模Code Agent返回时间、层级迁移和消费级单机容量。</x:v>
      </x:c>
      <x:c r="N22" s="202" t="str">
        <x:v>G2 有效复用鸿沟</x:v>
      </x:c>
      <x:c r="O22" s="202" t="str">
        <x:v>高</x:v>
      </x:c>
      <x:c r="P22" s="202" t="str">
        <x:v>高</x:v>
      </x:c>
      <x:c r="Q22" s="203" t="str">
        <x:v>https://arxiv.org/abs/2309.06180</x:v>
      </x:c>
      <x:c r="R22" s="203" t="str"/>
    </x:row>
    <x:row r="23" ht="54" customHeight="1">
      <x:c r="A23" s="193" t="str">
        <x:v>P22</x:v>
      </x:c>
      <x:c r="B23" s="193" t="str">
        <x:v>既有76篇资料包</x:v>
      </x:c>
      <x:c r="C23" s="193" t="str">
        <x:v>A</x:v>
      </x:c>
      <x:c r="D23" s="201" t="n">
        <x:v>2023</x:v>
      </x:c>
      <x:c r="E23" s="193" t="str">
        <x:v>前缀缓存与上下文复用</x:v>
      </x:c>
      <x:c r="F23" s="188" t="str">
        <x:v>SGLang: Efficient Execution of Structured Language Model Programs</x:v>
      </x:c>
      <x:c r="G23" s="188" t="str">
        <x:v>RadixAttention与结构化生成复用基线</x:v>
      </x:c>
      <x:c r="H23" s="188" t="str">
        <x:v>精确前缀共享</x:v>
      </x:c>
      <x:c r="I23" s="188" t="str">
        <x:v>通用LLM/RAG/Agent混合</x:v>
      </x:c>
      <x:c r="J23" s="188" t="str">
        <x:v>跨请求精确前缀</x:v>
      </x:c>
      <x:c r="K23" s="188" t="str">
        <x:v>GPU前缀KV为主</x:v>
      </x:c>
      <x:c r="L23" s="188" t="str">
        <x:v>官方论文入口与摘要</x:v>
      </x:c>
      <x:c r="M23" s="188" t="str">
        <x:v>提供共享或重用机制，但多数未联合建模Code Agent返回时间、层级迁移和消费级单机容量。</x:v>
      </x:c>
      <x:c r="N23" s="202" t="str">
        <x:v>G1 原始命中率</x:v>
      </x:c>
      <x:c r="O23" s="202" t="str">
        <x:v>高</x:v>
      </x:c>
      <x:c r="P23" s="202" t="str">
        <x:v>中高</x:v>
      </x:c>
      <x:c r="Q23" s="203" t="str">
        <x:v>https://arxiv.org/abs/2312.07104</x:v>
      </x:c>
      <x:c r="R23" s="203" t="str"/>
    </x:row>
    <x:row r="24" ht="54" customHeight="1">
      <x:c r="A24" s="193" t="str">
        <x:v>P23</x:v>
      </x:c>
      <x:c r="B24" s="193" t="str">
        <x:v>既有76篇资料包</x:v>
      </x:c>
      <x:c r="C24" s="193" t="str">
        <x:v>A</x:v>
      </x:c>
      <x:c r="D24" s="201" t="n">
        <x:v>2023</x:v>
      </x:c>
      <x:c r="E24" s="193" t="str">
        <x:v>前缀缓存与上下文复用</x:v>
      </x:c>
      <x:c r="F24" s="188" t="str">
        <x:v>Prompt Cache: Modular Attention Reuse for Low-Latency Inference</x:v>
      </x:c>
      <x:c r="G24" s="188" t="str">
        <x:v>模块化Prompt缓存与位置处理</x:v>
      </x:c>
      <x:c r="H24" s="188" t="str">
        <x:v>精确前缀共享</x:v>
      </x:c>
      <x:c r="I24" s="188" t="str">
        <x:v>通用LLM/RAG/Agent混合</x:v>
      </x:c>
      <x:c r="J24" s="188" t="str">
        <x:v>跨请求精确前缀</x:v>
      </x:c>
      <x:c r="K24" s="188" t="str">
        <x:v>GPU前缀KV为主</x:v>
      </x:c>
      <x:c r="L24" s="188" t="str">
        <x:v>官方论文入口与摘要</x:v>
      </x:c>
      <x:c r="M24" s="188" t="str">
        <x:v>提供共享或重用机制，但多数未联合建模Code Agent返回时间、层级迁移和消费级单机容量。</x:v>
      </x:c>
      <x:c r="N24" s="202" t="str">
        <x:v>G1 原始命中率</x:v>
      </x:c>
      <x:c r="O24" s="202" t="str">
        <x:v>高</x:v>
      </x:c>
      <x:c r="P24" s="202" t="str">
        <x:v>中高</x:v>
      </x:c>
      <x:c r="Q24" s="203" t="str">
        <x:v>https://arxiv.org/abs/2311.04934</x:v>
      </x:c>
      <x:c r="R24" s="203" t="str"/>
    </x:row>
    <x:row r="25" ht="54" customHeight="1">
      <x:c r="A25" s="193" t="str">
        <x:v>P24</x:v>
      </x:c>
      <x:c r="B25" s="193" t="str">
        <x:v>既有76篇资料包</x:v>
      </x:c>
      <x:c r="C25" s="193" t="str">
        <x:v>A</x:v>
      </x:c>
      <x:c r="D25" s="201" t="n">
        <x:v>2024</x:v>
      </x:c>
      <x:c r="E25" s="193" t="str">
        <x:v>前缀缓存与上下文复用</x:v>
      </x:c>
      <x:c r="F25" s="188" t="str">
        <x:v>ChunkAttention: Efficient Self-Attention with Prefix-Aware KV Cache and Two-Phase Partition</x:v>
      </x:c>
      <x:c r="G25" s="188" t="str">
        <x:v>前缀感知共享与注意力内核</x:v>
      </x:c>
      <x:c r="H25" s="188" t="str">
        <x:v>精确前缀共享</x:v>
      </x:c>
      <x:c r="I25" s="188" t="str">
        <x:v>通用LLM/RAG/Agent混合</x:v>
      </x:c>
      <x:c r="J25" s="188" t="str">
        <x:v>跨请求精确前缀</x:v>
      </x:c>
      <x:c r="K25" s="188" t="str">
        <x:v>GPU前缀KV为主</x:v>
      </x:c>
      <x:c r="L25" s="188" t="str">
        <x:v>已有本地PDF</x:v>
      </x:c>
      <x:c r="M25" s="188" t="str">
        <x:v>提供共享或重用机制，但多数未联合建模Code Agent返回时间、层级迁移和消费级单机容量。</x:v>
      </x:c>
      <x:c r="N25" s="202" t="str">
        <x:v>G1 原始命中率</x:v>
      </x:c>
      <x:c r="O25" s="202" t="str">
        <x:v>高</x:v>
      </x:c>
      <x:c r="P25" s="202" t="str">
        <x:v>高</x:v>
      </x:c>
      <x:c r="Q25" s="203" t="str">
        <x:v>https://arxiv.org/abs/2402.15220</x:v>
      </x:c>
      <x:c r="R25" s="203" t="str"/>
    </x:row>
    <x:row r="26" ht="54" customHeight="1">
      <x:c r="A26" s="193" t="str">
        <x:v>P25</x:v>
      </x:c>
      <x:c r="B26" s="193" t="str">
        <x:v>既有76篇资料包</x:v>
      </x:c>
      <x:c r="C26" s="193" t="str">
        <x:v>A</x:v>
      </x:c>
      <x:c r="D26" s="201" t="n">
        <x:v>2024</x:v>
      </x:c>
      <x:c r="E26" s="193" t="str">
        <x:v>前缀缓存与上下文复用</x:v>
      </x:c>
      <x:c r="F26" s="188" t="str">
        <x:v>CacheBlend: Fast Large Language Model Serving for RAG with Cached Knowledge Fusion</x:v>
      </x:c>
      <x:c r="G26" s="188" t="str">
        <x:v>非前缀缓存融合与选择性重计算</x:v>
      </x:c>
      <x:c r="H26" s="188" t="str">
        <x:v>非前缀/位置无关复用</x:v>
      </x:c>
      <x:c r="I26" s="188" t="str">
        <x:v>通用LLM/RAG/Agent混合</x:v>
      </x:c>
      <x:c r="J26" s="188" t="str">
        <x:v>非前缀片段或选择性重计算</x:v>
      </x:c>
      <x:c r="K26" s="188" t="str">
        <x:v>GPU前缀KV为主</x:v>
      </x:c>
      <x:c r="L26" s="188" t="str">
        <x:v>已有本地PDF</x:v>
      </x:c>
      <x:c r="M26" s="188" t="str">
        <x:v>提升非前缀机会，但依赖位置修复/选择性重算，并带来正确性与安全风险。</x:v>
      </x:c>
      <x:c r="N26" s="202" t="str">
        <x:v>G6 非前缀安全复用</x:v>
      </x:c>
      <x:c r="O26" s="202" t="str">
        <x:v>高</x:v>
      </x:c>
      <x:c r="P26" s="202" t="str">
        <x:v>高</x:v>
      </x:c>
      <x:c r="Q26" s="203" t="str">
        <x:v>https://arxiv.org/abs/2405.16444</x:v>
      </x:c>
      <x:c r="R26" s="203" t="str"/>
    </x:row>
    <x:row r="27" ht="54" customHeight="1">
      <x:c r="A27" s="193" t="str">
        <x:v>P26</x:v>
      </x:c>
      <x:c r="B27" s="193" t="str">
        <x:v>既有76篇资料包</x:v>
      </x:c>
      <x:c r="C27" s="193" t="str">
        <x:v>A</x:v>
      </x:c>
      <x:c r="D27" s="201" t="n">
        <x:v>2024</x:v>
      </x:c>
      <x:c r="E27" s="193" t="str">
        <x:v>前缀缓存与上下文复用</x:v>
      </x:c>
      <x:c r="F27" s="188" t="str">
        <x:v>EPIC: Efficient Position-Independent Caching for Serving Large Language Models</x:v>
      </x:c>
      <x:c r="G27" s="188" t="str">
        <x:v>位置无关缓存与线性边界修复</x:v>
      </x:c>
      <x:c r="H27" s="188" t="str">
        <x:v>非前缀/位置无关复用</x:v>
      </x:c>
      <x:c r="I27" s="188" t="str">
        <x:v>通用LLM/RAG/Agent混合</x:v>
      </x:c>
      <x:c r="J27" s="188" t="str">
        <x:v>非前缀片段或选择性重计算</x:v>
      </x:c>
      <x:c r="K27" s="188" t="str">
        <x:v>GPU前缀KV为主</x:v>
      </x:c>
      <x:c r="L27" s="188" t="str">
        <x:v>官方论文入口与摘要</x:v>
      </x:c>
      <x:c r="M27" s="188" t="str">
        <x:v>提升非前缀机会，但依赖位置修复/选择性重算，并带来正确性与安全风险。</x:v>
      </x:c>
      <x:c r="N27" s="202" t="str">
        <x:v>G6 非前缀安全复用</x:v>
      </x:c>
      <x:c r="O27" s="202" t="str">
        <x:v>高</x:v>
      </x:c>
      <x:c r="P27" s="202" t="str">
        <x:v>中高</x:v>
      </x:c>
      <x:c r="Q27" s="203" t="str">
        <x:v>https://arxiv.org/abs/2410.15332</x:v>
      </x:c>
      <x:c r="R27" s="203" t="str"/>
    </x:row>
    <x:row r="28" ht="54" customHeight="1">
      <x:c r="A28" s="193" t="str">
        <x:v>P27</x:v>
      </x:c>
      <x:c r="B28" s="193" t="str">
        <x:v>既有76篇资料包</x:v>
      </x:c>
      <x:c r="C28" s="193" t="str">
        <x:v>B</x:v>
      </x:c>
      <x:c r="D28" s="201" t="n">
        <x:v>2025</x:v>
      </x:c>
      <x:c r="E28" s="193" t="str">
        <x:v>前缀缓存与上下文复用</x:v>
      </x:c>
      <x:c r="F28" s="188" t="str">
        <x:v>MPIC: Position-Independent Multimodal Context Caching System for Efficient MLLM Serving</x:v>
      </x:c>
      <x:c r="G28" s="188" t="str">
        <x:v>多模态位置无关上下文缓存</x:v>
      </x:c>
      <x:c r="H28" s="188" t="str">
        <x:v>非前缀/位置无关复用</x:v>
      </x:c>
      <x:c r="I28" s="188" t="str">
        <x:v>通用LLM/RAG/Agent混合</x:v>
      </x:c>
      <x:c r="J28" s="188" t="str">
        <x:v>非前缀片段或选择性重计算</x:v>
      </x:c>
      <x:c r="K28" s="188" t="str">
        <x:v>GPU前缀KV为主</x:v>
      </x:c>
      <x:c r="L28" s="188" t="str">
        <x:v>已有本地PDF</x:v>
      </x:c>
      <x:c r="M28" s="188" t="str">
        <x:v>提升非前缀机会，但依赖位置修复/选择性重算，并带来正确性与安全风险。</x:v>
      </x:c>
      <x:c r="N28" s="202" t="str">
        <x:v>G6 非前缀安全复用</x:v>
      </x:c>
      <x:c r="O28" s="202" t="str">
        <x:v>中</x:v>
      </x:c>
      <x:c r="P28" s="202" t="str">
        <x:v>中</x:v>
      </x:c>
      <x:c r="Q28" s="203" t="str">
        <x:v>https://arxiv.org/abs/2502.01960</x:v>
      </x:c>
      <x:c r="R28" s="203" t="str"/>
    </x:row>
    <x:row r="29" ht="54" customHeight="1">
      <x:c r="A29" s="193" t="str">
        <x:v>P28</x:v>
      </x:c>
      <x:c r="B29" s="193" t="str">
        <x:v>既有76篇资料包</x:v>
      </x:c>
      <x:c r="C29" s="193" t="str">
        <x:v>B</x:v>
      </x:c>
      <x:c r="D29" s="201" t="n">
        <x:v>2026</x:v>
      </x:c>
      <x:c r="E29" s="193" t="str">
        <x:v>前缀缓存与上下文复用</x:v>
      </x:c>
      <x:c r="F29" s="188" t="str">
        <x:v>KV Packet: Recomputation-Free Context-Independent KV Caching for LLMs</x:v>
      </x:c>
      <x:c r="G29" s="188" t="str">
        <x:v>免重计算的上下文无关KV缓存</x:v>
      </x:c>
      <x:c r="H29" s="188" t="str">
        <x:v>非前缀/位置无关复用</x:v>
      </x:c>
      <x:c r="I29" s="188" t="str">
        <x:v>通用LLM/RAG/Agent混合</x:v>
      </x:c>
      <x:c r="J29" s="188" t="str">
        <x:v>非前缀片段或选择性重计算</x:v>
      </x:c>
      <x:c r="K29" s="188" t="str">
        <x:v>GPU前缀KV为主</x:v>
      </x:c>
      <x:c r="L29" s="188" t="str">
        <x:v>官方论文入口与摘要</x:v>
      </x:c>
      <x:c r="M29" s="188" t="str">
        <x:v>提升非前缀机会，但依赖位置修复/选择性重算，并带来正确性与安全风险。</x:v>
      </x:c>
      <x:c r="N29" s="202" t="str">
        <x:v>G6 非前缀安全复用</x:v>
      </x:c>
      <x:c r="O29" s="202" t="str">
        <x:v>中</x:v>
      </x:c>
      <x:c r="P29" s="202" t="str">
        <x:v>中</x:v>
      </x:c>
      <x:c r="Q29" s="203" t="str">
        <x:v>https://arxiv.org/abs/2604.13226</x:v>
      </x:c>
      <x:c r="R29" s="203" t="str"/>
    </x:row>
    <x:row r="30" ht="54" customHeight="1">
      <x:c r="A30" s="193" t="str">
        <x:v>P29</x:v>
      </x:c>
      <x:c r="B30" s="193" t="str">
        <x:v>既有76篇资料包</x:v>
      </x:c>
      <x:c r="C30" s="193" t="str">
        <x:v>B</x:v>
      </x:c>
      <x:c r="D30" s="201" t="n">
        <x:v>2025</x:v>
      </x:c>
      <x:c r="E30" s="193" t="str">
        <x:v>前缀缓存与上下文复用</x:v>
      </x:c>
      <x:c r="F30" s="188" t="str">
        <x:v>MEPIC: Memory Efficient Position Independent Caching for LLM Serving</x:v>
      </x:c>
      <x:c r="G30" s="188" t="str">
        <x:v>内存高效位置无关缓存</x:v>
      </x:c>
      <x:c r="H30" s="188" t="str">
        <x:v>非前缀/位置无关复用</x:v>
      </x:c>
      <x:c r="I30" s="188" t="str">
        <x:v>通用LLM/RAG/Agent混合</x:v>
      </x:c>
      <x:c r="J30" s="188" t="str">
        <x:v>非前缀片段或选择性重计算</x:v>
      </x:c>
      <x:c r="K30" s="188" t="str">
        <x:v>GPU前缀KV为主</x:v>
      </x:c>
      <x:c r="L30" s="188" t="str">
        <x:v>已有本地PDF</x:v>
      </x:c>
      <x:c r="M30" s="188" t="str">
        <x:v>提升非前缀机会，但依赖位置修复/选择性重算，并带来正确性与安全风险。</x:v>
      </x:c>
      <x:c r="N30" s="202" t="str">
        <x:v>G6 非前缀安全复用</x:v>
      </x:c>
      <x:c r="O30" s="202" t="str">
        <x:v>中</x:v>
      </x:c>
      <x:c r="P30" s="202" t="str">
        <x:v>中</x:v>
      </x:c>
      <x:c r="Q30" s="203" t="str">
        <x:v>https://arxiv.org/abs/2512.16822</x:v>
      </x:c>
      <x:c r="R30" s="203" t="str"/>
    </x:row>
    <x:row r="31" ht="54" customHeight="1">
      <x:c r="A31" s="193" t="str">
        <x:v>P30</x:v>
      </x:c>
      <x:c r="B31" s="193" t="str">
        <x:v>既有76篇资料包</x:v>
      </x:c>
      <x:c r="C31" s="193" t="str">
        <x:v>A</x:v>
      </x:c>
      <x:c r="D31" s="201" t="n">
        <x:v>2026</x:v>
      </x:c>
      <x:c r="E31" s="193" t="str">
        <x:v>前缀缓存与上下文复用</x:v>
      </x:c>
      <x:c r="F31" s="188" t="str">
        <x:v>Irminsul: MLA-Native Position-Independent Caching for Agentic LLM Serving</x:v>
      </x:c>
      <x:c r="G31" s="188" t="str">
        <x:v>面向Agent的MLA原生位置无关缓存</x:v>
      </x:c>
      <x:c r="H31" s="188" t="str">
        <x:v>非前缀/位置无关复用</x:v>
      </x:c>
      <x:c r="I31" s="188" t="str">
        <x:v>通用LLM/RAG/Agent混合</x:v>
      </x:c>
      <x:c r="J31" s="188" t="str">
        <x:v>非前缀片段或选择性重计算</x:v>
      </x:c>
      <x:c r="K31" s="188" t="str">
        <x:v>GPU前缀KV为主</x:v>
      </x:c>
      <x:c r="L31" s="188" t="str">
        <x:v>已有本地PDF</x:v>
      </x:c>
      <x:c r="M31" s="188" t="str">
        <x:v>提升非前缀机会，但依赖位置修复/选择性重算，并带来正确性与安全风险。</x:v>
      </x:c>
      <x:c r="N31" s="202" t="str">
        <x:v>G6 非前缀安全复用</x:v>
      </x:c>
      <x:c r="O31" s="202" t="str">
        <x:v>高</x:v>
      </x:c>
      <x:c r="P31" s="202" t="str">
        <x:v>高</x:v>
      </x:c>
      <x:c r="Q31" s="203" t="str">
        <x:v>https://arxiv.org/abs/2605.05696</x:v>
      </x:c>
      <x:c r="R31" s="203" t="str"/>
    </x:row>
    <x:row r="32" ht="54" customHeight="1">
      <x:c r="A32" s="193" t="str">
        <x:v>P31</x:v>
      </x:c>
      <x:c r="B32" s="193" t="str">
        <x:v>既有76篇资料包</x:v>
      </x:c>
      <x:c r="C32" s="193" t="str">
        <x:v>B</x:v>
      </x:c>
      <x:c r="D32" s="201" t="n">
        <x:v>2026</x:v>
      </x:c>
      <x:c r="E32" s="193" t="str">
        <x:v>前缀缓存与上下文复用</x:v>
      </x:c>
      <x:c r="F32" s="188" t="str">
        <x:v>SparseX: Efficient Segment-Level KV Cache Sharing for Interleaved LLM Serving</x:v>
      </x:c>
      <x:c r="G32" s="188" t="str">
        <x:v>段级跨请求KV共享</x:v>
      </x:c>
      <x:c r="H32" s="188" t="str">
        <x:v>非前缀/位置无关复用</x:v>
      </x:c>
      <x:c r="I32" s="188" t="str">
        <x:v>通用LLM/RAG/Agent混合</x:v>
      </x:c>
      <x:c r="J32" s="188" t="str">
        <x:v>非前缀片段或选择性重计算</x:v>
      </x:c>
      <x:c r="K32" s="188" t="str">
        <x:v>GPU前缀KV为主</x:v>
      </x:c>
      <x:c r="L32" s="188" t="str">
        <x:v>官方论文入口与摘要</x:v>
      </x:c>
      <x:c r="M32" s="188" t="str">
        <x:v>提升非前缀机会，但依赖位置修复/选择性重算，并带来正确性与安全风险。</x:v>
      </x:c>
      <x:c r="N32" s="202" t="str">
        <x:v>G6 非前缀安全复用</x:v>
      </x:c>
      <x:c r="O32" s="202" t="str">
        <x:v>中</x:v>
      </x:c>
      <x:c r="P32" s="202" t="str">
        <x:v>中</x:v>
      </x:c>
      <x:c r="Q32" s="203" t="str">
        <x:v>https://arxiv.org/abs/2606.01751</x:v>
      </x:c>
      <x:c r="R32" s="203" t="str"/>
    </x:row>
    <x:row r="33" ht="54" customHeight="1">
      <x:c r="A33" s="193" t="str">
        <x:v>P32</x:v>
      </x:c>
      <x:c r="B33" s="193" t="str">
        <x:v>既有76篇资料包</x:v>
      </x:c>
      <x:c r="C33" s="193" t="str">
        <x:v>B</x:v>
      </x:c>
      <x:c r="D33" s="201" t="n">
        <x:v>2026</x:v>
      </x:c>
      <x:c r="E33" s="193" t="str">
        <x:v>前缀缓存与上下文复用</x:v>
      </x:c>
      <x:c r="F33" s="188" t="str">
        <x:v>KVBoost: Chunk-Level Key-Value Cache Reuse with Deviation-Guided Recomputation for Efficient Large Language Model Inference</x:v>
      </x:c>
      <x:c r="G33" s="188" t="str">
        <x:v>任意位置分块KV复用与修复策略</x:v>
      </x:c>
      <x:c r="H33" s="188" t="str">
        <x:v>非前缀/位置无关复用</x:v>
      </x:c>
      <x:c r="I33" s="188" t="str">
        <x:v>通用LLM/RAG/Agent混合</x:v>
      </x:c>
      <x:c r="J33" s="188" t="str">
        <x:v>非前缀片段或选择性重计算</x:v>
      </x:c>
      <x:c r="K33" s="188" t="str">
        <x:v>GPU前缀KV为主</x:v>
      </x:c>
      <x:c r="L33" s="188" t="str">
        <x:v>已有本地PDF</x:v>
      </x:c>
      <x:c r="M33" s="188" t="str">
        <x:v>提升非前缀机会，但依赖位置修复/选择性重算，并带来正确性与安全风险。</x:v>
      </x:c>
      <x:c r="N33" s="202" t="str">
        <x:v>G6 非前缀安全复用</x:v>
      </x:c>
      <x:c r="O33" s="202" t="str">
        <x:v>中</x:v>
      </x:c>
      <x:c r="P33" s="202" t="str">
        <x:v>中</x:v>
      </x:c>
      <x:c r="Q33" s="203" t="str">
        <x:v>https://arxiv.org/abs/2608.21362</x:v>
      </x:c>
      <x:c r="R33" s="203" t="str"/>
    </x:row>
    <x:row r="34" ht="54" customHeight="1">
      <x:c r="A34" s="193" t="str">
        <x:v>P33</x:v>
      </x:c>
      <x:c r="B34" s="193" t="str">
        <x:v>既有76篇资料包</x:v>
      </x:c>
      <x:c r="C34" s="193" t="str">
        <x:v>B</x:v>
      </x:c>
      <x:c r="D34" s="201" t="n">
        <x:v>2025</x:v>
      </x:c>
      <x:c r="E34" s="193" t="str">
        <x:v>前缀缓存与上下文复用</x:v>
      </x:c>
      <x:c r="F34" s="188" t="str">
        <x:v>KVShare: An LLM Service System with Efficient and Effective Multi-Tenant KV Cache Reuse</x:v>
      </x:c>
      <x:c r="G34" s="188" t="str">
        <x:v>多租户自适应长度KV共享</x:v>
      </x:c>
      <x:c r="H34" s="188" t="str">
        <x:v>精确前缀共享</x:v>
      </x:c>
      <x:c r="I34" s="188" t="str">
        <x:v>通用LLM/RAG/Agent混合</x:v>
      </x:c>
      <x:c r="J34" s="188" t="str">
        <x:v>跨请求精确前缀</x:v>
      </x:c>
      <x:c r="K34" s="188" t="str">
        <x:v>GPU前缀KV为主</x:v>
      </x:c>
      <x:c r="L34" s="188" t="str">
        <x:v>官方论文入口与摘要</x:v>
      </x:c>
      <x:c r="M34" s="188" t="str">
        <x:v>提供共享或重用机制，但多数未联合建模Code Agent返回时间、层级迁移和消费级单机容量。</x:v>
      </x:c>
      <x:c r="N34" s="202" t="str">
        <x:v>G1 原始命中率</x:v>
      </x:c>
      <x:c r="O34" s="202" t="str">
        <x:v>中</x:v>
      </x:c>
      <x:c r="P34" s="202" t="str">
        <x:v>中</x:v>
      </x:c>
      <x:c r="Q34" s="203" t="str">
        <x:v>https://arxiv.org/abs/2503.16525</x:v>
      </x:c>
      <x:c r="R34" s="203" t="str"/>
    </x:row>
    <x:row r="35" ht="54" customHeight="1">
      <x:c r="A35" s="193" t="str">
        <x:v>P34</x:v>
      </x:c>
      <x:c r="B35" s="193" t="str">
        <x:v>既有76篇资料包</x:v>
      </x:c>
      <x:c r="C35" s="193" t="str">
        <x:v>A</x:v>
      </x:c>
      <x:c r="D35" s="201" t="n">
        <x:v>2024</x:v>
      </x:c>
      <x:c r="E35" s="193" t="str">
        <x:v>前缀缓存与上下文复用</x:v>
      </x:c>
      <x:c r="F35" s="188" t="str">
        <x:v>Compute Or Load KV Cache? Why Not Both?</x:v>
      </x:c>
      <x:c r="G35" s="188" t="str">
        <x:v>读取缓存与重计算并行的收益边界</x:v>
      </x:c>
      <x:c r="H35" s="188" t="str">
        <x:v>Load-vs-Recompute边界</x:v>
      </x:c>
      <x:c r="I35" s="188" t="str">
        <x:v>通用LLM/RAG/Agent混合</x:v>
      </x:c>
      <x:c r="J35" s="188" t="str">
        <x:v>缓存读取与重算并行</x:v>
      </x:c>
      <x:c r="K35" s="188" t="str">
        <x:v>GPU前缀KV为主</x:v>
      </x:c>
      <x:c r="L35" s="188" t="str">
        <x:v>官方论文入口与摘要</x:v>
      </x:c>
      <x:c r="M35" s="188" t="str">
        <x:v>直接研究加载与重算边界，但未针对Code Agent暂停语义和三层消费级单机决策。</x:v>
      </x:c>
      <x:c r="N35" s="202" t="str">
        <x:v>G2 有效复用鸿沟</x:v>
      </x:c>
      <x:c r="O35" s="202" t="str">
        <x:v>高</x:v>
      </x:c>
      <x:c r="P35" s="202" t="str">
        <x:v>中高</x:v>
      </x:c>
      <x:c r="Q35" s="203" t="str">
        <x:v>https://arxiv.org/abs/2410.03065</x:v>
      </x:c>
      <x:c r="R35" s="203" t="str"/>
    </x:row>
    <x:row r="36" ht="54" customHeight="1">
      <x:c r="A36" s="193" t="str">
        <x:v>P35</x:v>
      </x:c>
      <x:c r="B36" s="193" t="str">
        <x:v>既有76篇资料包</x:v>
      </x:c>
      <x:c r="C36" s="193" t="str">
        <x:v>A</x:v>
      </x:c>
      <x:c r="D36" s="201" t="n">
        <x:v>2024</x:v>
      </x:c>
      <x:c r="E36" s="193" t="str">
        <x:v>分层存储与解耦推理</x:v>
      </x:c>
      <x:c r="F36" s="188" t="str">
        <x:v>MemServe: Context Caching for Disaggregated LLM Serving with Elastic Memory Pool</x:v>
      </x:c>
      <x:c r="G36" s="188" t="str">
        <x:v>分布式弹性内存池与跨实例缓存</x:v>
      </x:c>
      <x:c r="H36" s="188" t="str">
        <x:v>分层/解耦KV系统</x:v>
      </x:c>
      <x:c r="I36" s="188" t="str">
        <x:v>通用长上下文LLM</x:v>
      </x:c>
      <x:c r="J36" s="188" t="str">
        <x:v>跨请求KV加载与迁移</x:v>
      </x:c>
      <x:c r="K36" s="188" t="str">
        <x:v>GPU/DRAM/SSD或解耦节点</x:v>
      </x:c>
      <x:c r="L36" s="188" t="str">
        <x:v>已有本地PDF</x:v>
      </x:c>
      <x:c r="M36" s="188" t="str">
        <x:v>通用分层或集群方案已较成熟，但通常不以Coding Agent暂停/恢复语义和RTX 5090资源边界为目标。</x:v>
      </x:c>
      <x:c r="N36" s="202" t="str">
        <x:v>G3 联合层级决策</x:v>
      </x:c>
      <x:c r="O36" s="202" t="str">
        <x:v>高</x:v>
      </x:c>
      <x:c r="P36" s="202" t="str">
        <x:v>高</x:v>
      </x:c>
      <x:c r="Q36" s="203" t="str">
        <x:v>https://arxiv.org/abs/2406.17565</x:v>
      </x:c>
      <x:c r="R36" s="203" t="str"/>
    </x:row>
    <x:row r="37" ht="54" customHeight="1">
      <x:c r="A37" s="193" t="str">
        <x:v>P36</x:v>
      </x:c>
      <x:c r="B37" s="193" t="str">
        <x:v>既有76篇资料包</x:v>
      </x:c>
      <x:c r="C37" s="193" t="str">
        <x:v>A</x:v>
      </x:c>
      <x:c r="D37" s="201" t="n">
        <x:v>2024</x:v>
      </x:c>
      <x:c r="E37" s="193" t="str">
        <x:v>分层存储与解耦推理</x:v>
      </x:c>
      <x:c r="F37" s="188" t="str">
        <x:v>DistServe: Disaggregating Prefill and Decoding for Goodput-optimized Large Language Model Serving</x:v>
      </x:c>
      <x:c r="G37" s="188" t="str">
        <x:v>Prefill与Decode解耦系统基线</x:v>
      </x:c>
      <x:c r="H37" s="188" t="str">
        <x:v>分层/解耦KV系统</x:v>
      </x:c>
      <x:c r="I37" s="188" t="str">
        <x:v>通用长上下文LLM</x:v>
      </x:c>
      <x:c r="J37" s="188" t="str">
        <x:v>跨请求KV加载与迁移</x:v>
      </x:c>
      <x:c r="K37" s="188" t="str">
        <x:v>GPU/DRAM/SSD或解耦节点</x:v>
      </x:c>
      <x:c r="L37" s="188" t="str">
        <x:v>已有本地PDF</x:v>
      </x:c>
      <x:c r="M37" s="188" t="str">
        <x:v>通用分层或集群方案已较成熟，但通常不以Coding Agent暂停/恢复语义和RTX 5090资源边界为目标。</x:v>
      </x:c>
      <x:c r="N37" s="202" t="str">
        <x:v>G3 联合层级决策</x:v>
      </x:c>
      <x:c r="O37" s="202" t="str">
        <x:v>中</x:v>
      </x:c>
      <x:c r="P37" s="202" t="str">
        <x:v>高</x:v>
      </x:c>
      <x:c r="Q37" s="203" t="str">
        <x:v>https://arxiv.org/abs/2401.09670</x:v>
      </x:c>
      <x:c r="R37" s="203" t="str"/>
    </x:row>
    <x:row r="38" ht="54" customHeight="1">
      <x:c r="A38" s="193" t="str">
        <x:v>P37</x:v>
      </x:c>
      <x:c r="B38" s="193" t="str">
        <x:v>既有76篇资料包</x:v>
      </x:c>
      <x:c r="C38" s="193" t="str">
        <x:v>A</x:v>
      </x:c>
      <x:c r="D38" s="201" t="n">
        <x:v>2023</x:v>
      </x:c>
      <x:c r="E38" s="193" t="str">
        <x:v>分层存储与解耦推理</x:v>
      </x:c>
      <x:c r="F38" s="188" t="str">
        <x:v>CacheGen: KV Cache Compression and Streaming for Fast Large Language Model Serving</x:v>
      </x:c>
      <x:c r="G38" s="188" t="str">
        <x:v>KV压缩流式传输与带宽自适应</x:v>
      </x:c>
      <x:c r="H38" s="188" t="str">
        <x:v>分层/解耦KV系统</x:v>
      </x:c>
      <x:c r="I38" s="188" t="str">
        <x:v>通用长上下文LLM</x:v>
      </x:c>
      <x:c r="J38" s="188" t="str">
        <x:v>跨请求KV加载与迁移</x:v>
      </x:c>
      <x:c r="K38" s="188" t="str">
        <x:v>GPU/DRAM/SSD或解耦节点</x:v>
      </x:c>
      <x:c r="L38" s="188" t="str">
        <x:v>官方论文入口与摘要</x:v>
      </x:c>
      <x:c r="M38" s="188" t="str">
        <x:v>通用分层或集群方案已较成熟，但通常不以Coding Agent暂停/恢复语义和RTX 5090资源边界为目标。</x:v>
      </x:c>
      <x:c r="N38" s="202" t="str">
        <x:v>G3 联合层级决策</x:v>
      </x:c>
      <x:c r="O38" s="202" t="str">
        <x:v>高</x:v>
      </x:c>
      <x:c r="P38" s="202" t="str">
        <x:v>中高</x:v>
      </x:c>
      <x:c r="Q38" s="203" t="str">
        <x:v>https://arxiv.org/abs/2310.07240</x:v>
      </x:c>
      <x:c r="R38" s="203" t="str"/>
    </x:row>
    <x:row r="39" ht="54" customHeight="1">
      <x:c r="A39" s="193" t="str">
        <x:v>P38</x:v>
      </x:c>
      <x:c r="B39" s="193" t="str">
        <x:v>既有76篇资料包</x:v>
      </x:c>
      <x:c r="C39" s="193" t="str">
        <x:v>A</x:v>
      </x:c>
      <x:c r="D39" s="201" t="n">
        <x:v>2025</x:v>
      </x:c>
      <x:c r="E39" s="193" t="str">
        <x:v>分层存储与解耦推理</x:v>
      </x:c>
      <x:c r="F39" s="188" t="str">
        <x:v>LMCache: An Efficient KV Cache Layer for Enterprise-Scale LLM Inference</x:v>
      </x:c>
      <x:c r="G39" s="188" t="str">
        <x:v>跨引擎跨请求企业级KV缓存层</x:v>
      </x:c>
      <x:c r="H39" s="188" t="str">
        <x:v>分层/解耦KV系统</x:v>
      </x:c>
      <x:c r="I39" s="188" t="str">
        <x:v>通用长上下文LLM</x:v>
      </x:c>
      <x:c r="J39" s="188" t="str">
        <x:v>跨请求KV加载与迁移</x:v>
      </x:c>
      <x:c r="K39" s="188" t="str">
        <x:v>GPU/DRAM/SSD或解耦节点</x:v>
      </x:c>
      <x:c r="L39" s="188" t="str">
        <x:v>已有本地PDF</x:v>
      </x:c>
      <x:c r="M39" s="188" t="str">
        <x:v>通用分层或集群方案已较成熟，但通常不以Coding Agent暂停/恢复语义和RTX 5090资源边界为目标。</x:v>
      </x:c>
      <x:c r="N39" s="202" t="str">
        <x:v>G3 联合层级决策</x:v>
      </x:c>
      <x:c r="O39" s="202" t="str">
        <x:v>高</x:v>
      </x:c>
      <x:c r="P39" s="202" t="str">
        <x:v>高</x:v>
      </x:c>
      <x:c r="Q39" s="203" t="str">
        <x:v>https://arxiv.org/abs/2510.09665</x:v>
      </x:c>
      <x:c r="R39" s="203" t="str"/>
    </x:row>
    <x:row r="40" ht="54" customHeight="1">
      <x:c r="A40" s="193" t="str">
        <x:v>P39</x:v>
      </x:c>
      <x:c r="B40" s="193" t="str">
        <x:v>既有76篇资料包</x:v>
      </x:c>
      <x:c r="C40" s="193" t="str">
        <x:v>A</x:v>
      </x:c>
      <x:c r="D40" s="201" t="n">
        <x:v>2025</x:v>
      </x:c>
      <x:c r="E40" s="193" t="str">
        <x:v>分层存储与解耦推理</x:v>
      </x:c>
      <x:c r="F40" s="188" t="str">
        <x:v>Strata: Hierarchical Context Caching for Long Context Language Model Serving</x:v>
      </x:c>
      <x:c r="G40" s="188" t="str">
        <x:v>HBM DRAM SSD分层上下文缓存</x:v>
      </x:c>
      <x:c r="H40" s="188" t="str">
        <x:v>分层/解耦KV系统</x:v>
      </x:c>
      <x:c r="I40" s="188" t="str">
        <x:v>通用长上下文LLM</x:v>
      </x:c>
      <x:c r="J40" s="188" t="str">
        <x:v>跨请求KV加载与迁移</x:v>
      </x:c>
      <x:c r="K40" s="188" t="str">
        <x:v>GPU/DRAM/SSD或解耦节点</x:v>
      </x:c>
      <x:c r="L40" s="188" t="str">
        <x:v>已有本地PDF</x:v>
      </x:c>
      <x:c r="M40" s="188" t="str">
        <x:v>通用分层或集群方案已较成熟，但通常不以Coding Agent暂停/恢复语义和RTX 5090资源边界为目标。</x:v>
      </x:c>
      <x:c r="N40" s="202" t="str">
        <x:v>G3 联合层级决策</x:v>
      </x:c>
      <x:c r="O40" s="202" t="str">
        <x:v>高</x:v>
      </x:c>
      <x:c r="P40" s="202" t="str">
        <x:v>高</x:v>
      </x:c>
      <x:c r="Q40" s="203" t="str">
        <x:v>https://arxiv.org/abs/2508.18572</x:v>
      </x:c>
      <x:c r="R40" s="203" t="str"/>
    </x:row>
    <x:row r="41" ht="54" customHeight="1">
      <x:c r="A41" s="193" t="str">
        <x:v>P40</x:v>
      </x:c>
      <x:c r="B41" s="193" t="str">
        <x:v>既有76篇资料包</x:v>
      </x:c>
      <x:c r="C41" s="193" t="str">
        <x:v>B</x:v>
      </x:c>
      <x:c r="D41" s="201" t="n">
        <x:v>2026</x:v>
      </x:c>
      <x:c r="E41" s="193" t="str">
        <x:v>分层存储与解耦推理</x:v>
      </x:c>
      <x:c r="F41" s="188" t="str">
        <x:v>Tutti: Making SSD-Backed KV Cache Practical for Long-Context LLM Serving</x:v>
      </x:c>
      <x:c r="G41" s="188" t="str">
        <x:v>SSD支撑KV缓存的数据布局优化</x:v>
      </x:c>
      <x:c r="H41" s="188" t="str">
        <x:v>分层/解耦KV系统</x:v>
      </x:c>
      <x:c r="I41" s="188" t="str">
        <x:v>通用长上下文LLM</x:v>
      </x:c>
      <x:c r="J41" s="188" t="str">
        <x:v>跨请求KV加载与迁移</x:v>
      </x:c>
      <x:c r="K41" s="188" t="str">
        <x:v>GPU/DRAM/SSD或解耦节点</x:v>
      </x:c>
      <x:c r="L41" s="188" t="str">
        <x:v>官方论文入口与摘要</x:v>
      </x:c>
      <x:c r="M41" s="188" t="str">
        <x:v>通用分层或集群方案已较成熟，但通常不以Coding Agent暂停/恢复语义和RTX 5090资源边界为目标。</x:v>
      </x:c>
      <x:c r="N41" s="202" t="str">
        <x:v>G3 联合层级决策</x:v>
      </x:c>
      <x:c r="O41" s="202" t="str">
        <x:v>高</x:v>
      </x:c>
      <x:c r="P41" s="202" t="str">
        <x:v>中</x:v>
      </x:c>
      <x:c r="Q41" s="203" t="str">
        <x:v>https://arxiv.org/abs/2605.03375</x:v>
      </x:c>
      <x:c r="R41" s="203" t="str"/>
    </x:row>
    <x:row r="42" ht="54" customHeight="1">
      <x:c r="A42" s="193" t="str">
        <x:v>P41</x:v>
      </x:c>
      <x:c r="B42" s="193" t="str">
        <x:v>既有76篇资料包</x:v>
      </x:c>
      <x:c r="C42" s="193" t="str">
        <x:v>B</x:v>
      </x:c>
      <x:c r="D42" s="201" t="n">
        <x:v>2026</x:v>
      </x:c>
      <x:c r="E42" s="193" t="str">
        <x:v>分层存储与解耦推理</x:v>
      </x:c>
      <x:c r="F42" s="188" t="str">
        <x:v>KVDrive: A Holistic Multi-Tier KV Cache Management System for Long-Context LLM Inference</x:v>
      </x:c>
      <x:c r="G42" s="188" t="str">
        <x:v>多层KV放置管线与跨层协调</x:v>
      </x:c>
      <x:c r="H42" s="188" t="str">
        <x:v>分层/解耦KV系统</x:v>
      </x:c>
      <x:c r="I42" s="188" t="str">
        <x:v>通用长上下文LLM</x:v>
      </x:c>
      <x:c r="J42" s="188" t="str">
        <x:v>跨请求KV加载与迁移</x:v>
      </x:c>
      <x:c r="K42" s="188" t="str">
        <x:v>GPU/DRAM/SSD或解耦节点</x:v>
      </x:c>
      <x:c r="L42" s="188" t="str">
        <x:v>官方论文入口与摘要</x:v>
      </x:c>
      <x:c r="M42" s="188" t="str">
        <x:v>通用分层或集群方案已较成熟，但通常不以Coding Agent暂停/恢复语义和RTX 5090资源边界为目标。</x:v>
      </x:c>
      <x:c r="N42" s="202" t="str">
        <x:v>G3 联合层级决策</x:v>
      </x:c>
      <x:c r="O42" s="202" t="str">
        <x:v>高</x:v>
      </x:c>
      <x:c r="P42" s="202" t="str">
        <x:v>中</x:v>
      </x:c>
      <x:c r="Q42" s="203" t="str">
        <x:v>https://arxiv.org/abs/2605.18071</x:v>
      </x:c>
      <x:c r="R42" s="203" t="str"/>
    </x:row>
    <x:row r="43" ht="54" customHeight="1">
      <x:c r="A43" s="193" t="str">
        <x:v>P42</x:v>
      </x:c>
      <x:c r="B43" s="193" t="str">
        <x:v>既有76篇资料包</x:v>
      </x:c>
      <x:c r="C43" s="193" t="str">
        <x:v>B</x:v>
      </x:c>
      <x:c r="D43" s="201" t="n">
        <x:v>2025</x:v>
      </x:c>
      <x:c r="E43" s="193" t="str">
        <x:v>分层存储与解耦推理</x:v>
      </x:c>
      <x:c r="F43" s="188" t="str">
        <x:v>FlowKV: A Disaggregated Inference Framework with Low-Latency KV Cache Transfer and Load-Aware Scheduling</x:v>
      </x:c>
      <x:c r="G43" s="188" t="str">
        <x:v>解耦推理中的低延迟KV传输</x:v>
      </x:c>
      <x:c r="H43" s="188" t="str">
        <x:v>分层/解耦KV系统</x:v>
      </x:c>
      <x:c r="I43" s="188" t="str">
        <x:v>通用长上下文LLM</x:v>
      </x:c>
      <x:c r="J43" s="188" t="str">
        <x:v>跨请求KV加载与迁移</x:v>
      </x:c>
      <x:c r="K43" s="188" t="str">
        <x:v>GPU/DRAM/SSD或解耦节点</x:v>
      </x:c>
      <x:c r="L43" s="188" t="str">
        <x:v>官方论文入口与摘要</x:v>
      </x:c>
      <x:c r="M43" s="188" t="str">
        <x:v>通用分层或集群方案已较成熟，但通常不以Coding Agent暂停/恢复语义和RTX 5090资源边界为目标。</x:v>
      </x:c>
      <x:c r="N43" s="202" t="str">
        <x:v>G3 联合层级决策</x:v>
      </x:c>
      <x:c r="O43" s="202" t="str">
        <x:v>中</x:v>
      </x:c>
      <x:c r="P43" s="202" t="str">
        <x:v>中</x:v>
      </x:c>
      <x:c r="Q43" s="203" t="str">
        <x:v>https://arxiv.org/abs/2504.03775</x:v>
      </x:c>
      <x:c r="R43" s="203" t="str"/>
    </x:row>
    <x:row r="44" ht="54" customHeight="1">
      <x:c r="A44" s="193" t="str">
        <x:v>P43</x:v>
      </x:c>
      <x:c r="B44" s="193" t="str">
        <x:v>既有76篇资料包</x:v>
      </x:c>
      <x:c r="C44" s="193" t="str">
        <x:v>A</x:v>
      </x:c>
      <x:c r="D44" s="201" t="n">
        <x:v>2024</x:v>
      </x:c>
      <x:c r="E44" s="193" t="str">
        <x:v>分层存储与解耦推理</x:v>
      </x:c>
      <x:c r="F44" s="188" t="str">
        <x:v>vAttention: Dynamic Memory Management for Serving LLMs without PagedAttention</x:v>
      </x:c>
      <x:c r="G44" s="188" t="str">
        <x:v>连续虚拟地址KV内存管理</x:v>
      </x:c>
      <x:c r="H44" s="188" t="str">
        <x:v>分层/解耦KV系统</x:v>
      </x:c>
      <x:c r="I44" s="188" t="str">
        <x:v>通用长上下文LLM</x:v>
      </x:c>
      <x:c r="J44" s="188" t="str">
        <x:v>跨请求KV加载与迁移</x:v>
      </x:c>
      <x:c r="K44" s="188" t="str">
        <x:v>GPU/DRAM/SSD或解耦节点</x:v>
      </x:c>
      <x:c r="L44" s="188" t="str">
        <x:v>已有本地PDF</x:v>
      </x:c>
      <x:c r="M44" s="188" t="str">
        <x:v>通用分层或集群方案已较成熟，但通常不以Coding Agent暂停/恢复语义和RTX 5090资源边界为目标。</x:v>
      </x:c>
      <x:c r="N44" s="202" t="str">
        <x:v>G3 联合层级决策</x:v>
      </x:c>
      <x:c r="O44" s="202" t="str">
        <x:v>高</x:v>
      </x:c>
      <x:c r="P44" s="202" t="str">
        <x:v>高</x:v>
      </x:c>
      <x:c r="Q44" s="203" t="str">
        <x:v>https://arxiv.org/abs/2405.04437</x:v>
      </x:c>
      <x:c r="R44" s="203" t="str"/>
    </x:row>
    <x:row r="45" ht="54" customHeight="1">
      <x:c r="A45" s="193" t="str">
        <x:v>P44</x:v>
      </x:c>
      <x:c r="B45" s="193" t="str">
        <x:v>既有76篇资料包</x:v>
      </x:c>
      <x:c r="C45" s="193" t="str">
        <x:v>A</x:v>
      </x:c>
      <x:c r="D45" s="201" t="n">
        <x:v>2024</x:v>
      </x:c>
      <x:c r="E45" s="193" t="str">
        <x:v>分层存储与解耦推理</x:v>
      </x:c>
      <x:c r="F45" s="188" t="str">
        <x:v>InfiniGen: Efficient Generative Inference of Large Language Models with Dynamic KV Cache Management</x:v>
      </x:c>
      <x:c r="G45" s="188" t="str">
        <x:v>动态KV管理与主机内存卸载</x:v>
      </x:c>
      <x:c r="H45" s="188" t="str">
        <x:v>分层/解耦KV系统</x:v>
      </x:c>
      <x:c r="I45" s="188" t="str">
        <x:v>通用长上下文LLM</x:v>
      </x:c>
      <x:c r="J45" s="188" t="str">
        <x:v>跨请求KV加载与迁移</x:v>
      </x:c>
      <x:c r="K45" s="188" t="str">
        <x:v>GPU/DRAM/SSD或解耦节点</x:v>
      </x:c>
      <x:c r="L45" s="188" t="str">
        <x:v>已有本地PDF</x:v>
      </x:c>
      <x:c r="M45" s="188" t="str">
        <x:v>通用分层或集群方案已较成熟，但通常不以Coding Agent暂停/恢复语义和RTX 5090资源边界为目标。</x:v>
      </x:c>
      <x:c r="N45" s="202" t="str">
        <x:v>G3 联合层级决策</x:v>
      </x:c>
      <x:c r="O45" s="202" t="str">
        <x:v>高</x:v>
      </x:c>
      <x:c r="P45" s="202" t="str">
        <x:v>高</x:v>
      </x:c>
      <x:c r="Q45" s="203" t="str">
        <x:v>https://arxiv.org/abs/2406.19707</x:v>
      </x:c>
      <x:c r="R45" s="203" t="str"/>
    </x:row>
    <x:row r="46" ht="54" customHeight="1">
      <x:c r="A46" s="193" t="str">
        <x:v>P45</x:v>
      </x:c>
      <x:c r="B46" s="193" t="str">
        <x:v>既有76篇资料包</x:v>
      </x:c>
      <x:c r="C46" s="193" t="str">
        <x:v>B</x:v>
      </x:c>
      <x:c r="D46" s="201" t="n">
        <x:v>2023</x:v>
      </x:c>
      <x:c r="E46" s="193" t="str">
        <x:v>分层存储与解耦推理</x:v>
      </x:c>
      <x:c r="F46" s="188" t="str">
        <x:v>FlexGen: High-Throughput Generative Inference of Large Language Models with a Single GPU</x:v>
      </x:c>
      <x:c r="G46" s="188" t="str">
        <x:v>单GPU分层卸载与吞吐优化参照</x:v>
      </x:c>
      <x:c r="H46" s="188" t="str">
        <x:v>单GPU分层卸载</x:v>
      </x:c>
      <x:c r="I46" s="188" t="str">
        <x:v>大模型单GPU推理</x:v>
      </x:c>
      <x:c r="J46" s="188" t="str">
        <x:v>跨请求KV加载与迁移</x:v>
      </x:c>
      <x:c r="K46" s="188" t="str">
        <x:v>GPU/DRAM/SSD或解耦节点</x:v>
      </x:c>
      <x:c r="L46" s="188" t="str">
        <x:v>官方论文入口与摘要</x:v>
      </x:c>
      <x:c r="M46" s="188" t="str">
        <x:v>证明单GPU分层可行，但侧重权重/激活卸载而非Code Agent跨轮KV保留。</x:v>
      </x:c>
      <x:c r="N46" s="202" t="str">
        <x:v>G3 联合层级决策</x:v>
      </x:c>
      <x:c r="O46" s="202" t="str">
        <x:v>高</x:v>
      </x:c>
      <x:c r="P46" s="202" t="str">
        <x:v>中</x:v>
      </x:c>
      <x:c r="Q46" s="203" t="str">
        <x:v>https://arxiv.org/abs/2303.06865</x:v>
      </x:c>
      <x:c r="R46" s="203" t="str"/>
    </x:row>
    <x:row r="47" ht="54" customHeight="1">
      <x:c r="A47" s="193" t="str">
        <x:v>P46</x:v>
      </x:c>
      <x:c r="B47" s="193" t="str">
        <x:v>既有76篇资料包</x:v>
      </x:c>
      <x:c r="C47" s="193" t="str">
        <x:v>A</x:v>
      </x:c>
      <x:c r="D47" s="201" t="n">
        <x:v>2024</x:v>
      </x:c>
      <x:c r="E47" s="193" t="str">
        <x:v>压缩淘汰与注意力架构</x:v>
      </x:c>
      <x:c r="F47" s="188" t="str">
        <x:v>KIVI: A Tuning-Free Asymmetric 2bit Quantization for KV Cache</x:v>
      </x:c>
      <x:c r="G47" s="188" t="str">
        <x:v>非对称2bit KV量化基线</x:v>
      </x:c>
      <x:c r="H47" s="188" t="str">
        <x:v>KV量化/压缩</x:v>
      </x:c>
      <x:c r="I47" s="188" t="str">
        <x:v>通用长上下文LLM</x:v>
      </x:c>
      <x:c r="J47" s="188" t="str">
        <x:v>请求内/驻留KV压缩</x:v>
      </x:c>
      <x:c r="K47" s="188" t="str">
        <x:v>GPU KV容量优化</x:v>
      </x:c>
      <x:c r="L47" s="188" t="str">
        <x:v>已有本地PDF</x:v>
      </x:c>
      <x:c r="M47" s="188" t="str">
        <x:v>缓解容量，但可能引入质量与解压开销；不直接解决跨轮返回与层级放置。</x:v>
      </x:c>
      <x:c r="N47" s="202" t="str">
        <x:v>G8 适用边界</x:v>
      </x:c>
      <x:c r="O47" s="202" t="str">
        <x:v>中</x:v>
      </x:c>
      <x:c r="P47" s="202" t="str">
        <x:v>高</x:v>
      </x:c>
      <x:c r="Q47" s="203" t="str">
        <x:v>https://arxiv.org/abs/2402.02750</x:v>
      </x:c>
      <x:c r="R47" s="203" t="str"/>
    </x:row>
    <x:row r="48" ht="54" customHeight="1">
      <x:c r="A48" s="193" t="str">
        <x:v>P47</x:v>
      </x:c>
      <x:c r="B48" s="193" t="str">
        <x:v>既有76篇资料包</x:v>
      </x:c>
      <x:c r="C48" s="193" t="str">
        <x:v>A</x:v>
      </x:c>
      <x:c r="D48" s="201" t="n">
        <x:v>2024</x:v>
      </x:c>
      <x:c r="E48" s="193" t="str">
        <x:v>压缩淘汰与注意力架构</x:v>
      </x:c>
      <x:c r="F48" s="188" t="str">
        <x:v>KVQuant: Towards 10 Million Context Length LLM Inference with KV Cache Quantization</x:v>
      </x:c>
      <x:c r="G48" s="188" t="str">
        <x:v>超长上下文KV量化基线</x:v>
      </x:c>
      <x:c r="H48" s="188" t="str">
        <x:v>KV量化/压缩</x:v>
      </x:c>
      <x:c r="I48" s="188" t="str">
        <x:v>通用长上下文LLM</x:v>
      </x:c>
      <x:c r="J48" s="188" t="str">
        <x:v>请求内/驻留KV压缩</x:v>
      </x:c>
      <x:c r="K48" s="188" t="str">
        <x:v>GPU KV容量优化</x:v>
      </x:c>
      <x:c r="L48" s="188" t="str">
        <x:v>官方论文入口与摘要</x:v>
      </x:c>
      <x:c r="M48" s="188" t="str">
        <x:v>缓解容量，但可能引入质量与解压开销；不直接解决跨轮返回与层级放置。</x:v>
      </x:c>
      <x:c r="N48" s="202" t="str">
        <x:v>G8 适用边界</x:v>
      </x:c>
      <x:c r="O48" s="202" t="str">
        <x:v>中</x:v>
      </x:c>
      <x:c r="P48" s="202" t="str">
        <x:v>中高</x:v>
      </x:c>
      <x:c r="Q48" s="203" t="str">
        <x:v>https://arxiv.org/abs/2401.18079</x:v>
      </x:c>
      <x:c r="R48" s="203" t="str"/>
    </x:row>
    <x:row r="49" ht="54" customHeight="1">
      <x:c r="A49" s="193" t="str">
        <x:v>P48</x:v>
      </x:c>
      <x:c r="B49" s="193" t="str">
        <x:v>既有76篇资料包</x:v>
      </x:c>
      <x:c r="C49" s="193" t="str">
        <x:v>A</x:v>
      </x:c>
      <x:c r="D49" s="201" t="n">
        <x:v>2023</x:v>
      </x:c>
      <x:c r="E49" s="193" t="str">
        <x:v>压缩淘汰与注意力架构</x:v>
      </x:c>
      <x:c r="F49" s="188" t="str">
        <x:v>H$_2$O: Heavy-Hitter Oracle for Efficient Generative Inference of Large Language Models</x:v>
      </x:c>
      <x:c r="G49" s="188" t="str">
        <x:v>重频Token驱动的KV淘汰</x:v>
      </x:c>
      <x:c r="H49" s="188" t="str">
        <x:v>重要性淘汰/稀疏化</x:v>
      </x:c>
      <x:c r="I49" s="188" t="str">
        <x:v>通用长上下文LLM</x:v>
      </x:c>
      <x:c r="J49" s="188" t="str">
        <x:v>请求内Token选择</x:v>
      </x:c>
      <x:c r="K49" s="188" t="str">
        <x:v>GPU KV容量优化</x:v>
      </x:c>
      <x:c r="L49" s="188" t="str">
        <x:v>官方论文入口与摘要</x:v>
      </x:c>
      <x:c r="M49" s="188" t="str">
        <x:v>多为单请求Decode阶段KV预算控制，与跨请求精确前缀保留问题不同。</x:v>
      </x:c>
      <x:c r="N49" s="202" t="str">
        <x:v>G5 Prompt与语义布局</x:v>
      </x:c>
      <x:c r="O49" s="202" t="str">
        <x:v>中</x:v>
      </x:c>
      <x:c r="P49" s="202" t="str">
        <x:v>中高</x:v>
      </x:c>
      <x:c r="Q49" s="203" t="str">
        <x:v>https://arxiv.org/abs/2306.14048</x:v>
      </x:c>
      <x:c r="R49" s="203" t="str"/>
    </x:row>
    <x:row r="50" ht="54" customHeight="1">
      <x:c r="A50" s="193" t="str">
        <x:v>P49</x:v>
      </x:c>
      <x:c r="B50" s="193" t="str">
        <x:v>既有76篇资料包</x:v>
      </x:c>
      <x:c r="C50" s="193" t="str">
        <x:v>A</x:v>
      </x:c>
      <x:c r="D50" s="201" t="n">
        <x:v>2023</x:v>
      </x:c>
      <x:c r="E50" s="193" t="str">
        <x:v>压缩淘汰与注意力架构</x:v>
      </x:c>
      <x:c r="F50" s="188" t="str">
        <x:v>Scissorhands: Exploiting the Persistence of Importance Hypothesis for LLM KV Cache Compression at Test Time</x:v>
      </x:c>
      <x:c r="G50" s="188" t="str">
        <x:v>重要性持续性与固定预算缓存</x:v>
      </x:c>
      <x:c r="H50" s="188" t="str">
        <x:v>KV量化/压缩</x:v>
      </x:c>
      <x:c r="I50" s="188" t="str">
        <x:v>通用长上下文LLM</x:v>
      </x:c>
      <x:c r="J50" s="188" t="str">
        <x:v>请求内/驻留KV压缩</x:v>
      </x:c>
      <x:c r="K50" s="188" t="str">
        <x:v>GPU KV容量优化</x:v>
      </x:c>
      <x:c r="L50" s="188" t="str">
        <x:v>官方论文入口与摘要</x:v>
      </x:c>
      <x:c r="M50" s="188" t="str">
        <x:v>缓解容量，但可能引入质量与解压开销；不直接解决跨轮返回与层级放置。</x:v>
      </x:c>
      <x:c r="N50" s="202" t="str">
        <x:v>G8 适用边界</x:v>
      </x:c>
      <x:c r="O50" s="202" t="str">
        <x:v>中</x:v>
      </x:c>
      <x:c r="P50" s="202" t="str">
        <x:v>中高</x:v>
      </x:c>
      <x:c r="Q50" s="203" t="str">
        <x:v>https://arxiv.org/abs/2305.17118</x:v>
      </x:c>
      <x:c r="R50" s="203" t="str"/>
    </x:row>
    <x:row r="51" ht="54" customHeight="1">
      <x:c r="A51" s="193" t="str">
        <x:v>P50</x:v>
      </x:c>
      <x:c r="B51" s="193" t="str">
        <x:v>既有76篇资料包</x:v>
      </x:c>
      <x:c r="C51" s="193" t="str">
        <x:v>A</x:v>
      </x:c>
      <x:c r="D51" s="201" t="n">
        <x:v>2023</x:v>
      </x:c>
      <x:c r="E51" s="193" t="str">
        <x:v>压缩淘汰与注意力架构</x:v>
      </x:c>
      <x:c r="F51" s="188" t="str">
        <x:v>Efficient Streaming Language Models with Attention Sinks</x:v>
      </x:c>
      <x:c r="G51" s="188" t="str">
        <x:v>注意力Sink与流式长上下文</x:v>
      </x:c>
      <x:c r="H51" s="188" t="str">
        <x:v>重要性淘汰/稀疏化</x:v>
      </x:c>
      <x:c r="I51" s="188" t="str">
        <x:v>通用长上下文LLM</x:v>
      </x:c>
      <x:c r="J51" s="188" t="str">
        <x:v>请求内Token选择</x:v>
      </x:c>
      <x:c r="K51" s="188" t="str">
        <x:v>GPU KV容量优化</x:v>
      </x:c>
      <x:c r="L51" s="188" t="str">
        <x:v>已有本地PDF</x:v>
      </x:c>
      <x:c r="M51" s="188" t="str">
        <x:v>多为单请求Decode阶段KV预算控制，与跨请求精确前缀保留问题不同。</x:v>
      </x:c>
      <x:c r="N51" s="202" t="str">
        <x:v>G5 Prompt与语义布局</x:v>
      </x:c>
      <x:c r="O51" s="202" t="str">
        <x:v>中</x:v>
      </x:c>
      <x:c r="P51" s="202" t="str">
        <x:v>高</x:v>
      </x:c>
      <x:c r="Q51" s="203" t="str">
        <x:v>https://arxiv.org/abs/2309.17453</x:v>
      </x:c>
      <x:c r="R51" s="203" t="str"/>
    </x:row>
    <x:row r="52" ht="54" customHeight="1">
      <x:c r="A52" s="193" t="str">
        <x:v>P51</x:v>
      </x:c>
      <x:c r="B52" s="193" t="str">
        <x:v>既有76篇资料包</x:v>
      </x:c>
      <x:c r="C52" s="193" t="str">
        <x:v>A</x:v>
      </x:c>
      <x:c r="D52" s="201" t="n">
        <x:v>2024</x:v>
      </x:c>
      <x:c r="E52" s="193" t="str">
        <x:v>压缩淘汰与注意力架构</x:v>
      </x:c>
      <x:c r="F52" s="188" t="str">
        <x:v>SnapKV: LLM Knows What You are Looking for Before Generation</x:v>
      </x:c>
      <x:c r="G52" s="188" t="str">
        <x:v>生成前重要Token选择压缩</x:v>
      </x:c>
      <x:c r="H52" s="188" t="str">
        <x:v>KV量化/压缩</x:v>
      </x:c>
      <x:c r="I52" s="188" t="str">
        <x:v>通用长上下文LLM</x:v>
      </x:c>
      <x:c r="J52" s="188" t="str">
        <x:v>请求内/驻留KV压缩</x:v>
      </x:c>
      <x:c r="K52" s="188" t="str">
        <x:v>GPU KV容量优化</x:v>
      </x:c>
      <x:c r="L52" s="188" t="str">
        <x:v>已有本地PDF</x:v>
      </x:c>
      <x:c r="M52" s="188" t="str">
        <x:v>缓解容量，但可能引入质量与解压开销；不直接解决跨轮返回与层级放置。</x:v>
      </x:c>
      <x:c r="N52" s="202" t="str">
        <x:v>G8 适用边界</x:v>
      </x:c>
      <x:c r="O52" s="202" t="str">
        <x:v>中</x:v>
      </x:c>
      <x:c r="P52" s="202" t="str">
        <x:v>高</x:v>
      </x:c>
      <x:c r="Q52" s="203" t="str">
        <x:v>https://arxiv.org/abs/2404.14469</x:v>
      </x:c>
      <x:c r="R52" s="203" t="str"/>
    </x:row>
    <x:row r="53" ht="54" customHeight="1">
      <x:c r="A53" s="193" t="str">
        <x:v>P52</x:v>
      </x:c>
      <x:c r="B53" s="193" t="str">
        <x:v>既有76篇资料包</x:v>
      </x:c>
      <x:c r="C53" s="193" t="str">
        <x:v>A</x:v>
      </x:c>
      <x:c r="D53" s="201" t="n">
        <x:v>2024</x:v>
      </x:c>
      <x:c r="E53" s="193" t="str">
        <x:v>压缩淘汰与注意力架构</x:v>
      </x:c>
      <x:c r="F53" s="188" t="str">
        <x:v>PyramidKV: Dynamic KV Cache Compression based on Pyramidal Information Funneling</x:v>
      </x:c>
      <x:c r="G53" s="188" t="str">
        <x:v>跨层金字塔式缓存预算</x:v>
      </x:c>
      <x:c r="H53" s="188" t="str">
        <x:v>KV量化/压缩</x:v>
      </x:c>
      <x:c r="I53" s="188" t="str">
        <x:v>通用长上下文LLM</x:v>
      </x:c>
      <x:c r="J53" s="188" t="str">
        <x:v>请求内/驻留KV压缩</x:v>
      </x:c>
      <x:c r="K53" s="188" t="str">
        <x:v>GPU KV容量优化</x:v>
      </x:c>
      <x:c r="L53" s="188" t="str">
        <x:v>官方论文入口与摘要</x:v>
      </x:c>
      <x:c r="M53" s="188" t="str">
        <x:v>缓解容量，但可能引入质量与解压开销；不直接解决跨轮返回与层级放置。</x:v>
      </x:c>
      <x:c r="N53" s="202" t="str">
        <x:v>G8 适用边界</x:v>
      </x:c>
      <x:c r="O53" s="202" t="str">
        <x:v>中</x:v>
      </x:c>
      <x:c r="P53" s="202" t="str">
        <x:v>中高</x:v>
      </x:c>
      <x:c r="Q53" s="203" t="str">
        <x:v>https://arxiv.org/abs/2406.02069</x:v>
      </x:c>
      <x:c r="R53" s="203" t="str"/>
    </x:row>
    <x:row r="54" ht="54" customHeight="1">
      <x:c r="A54" s="193" t="str">
        <x:v>P53</x:v>
      </x:c>
      <x:c r="B54" s="193" t="str">
        <x:v>既有76篇资料包</x:v>
      </x:c>
      <x:c r="C54" s="193" t="str">
        <x:v>A</x:v>
      </x:c>
      <x:c r="D54" s="201" t="n">
        <x:v>2024</x:v>
      </x:c>
      <x:c r="E54" s="193" t="str">
        <x:v>压缩淘汰与注意力架构</x:v>
      </x:c>
      <x:c r="F54" s="188" t="str">
        <x:v>MiniCache: KV Cache Compression in Depth Dimension for Large Language Models</x:v>
      </x:c>
      <x:c r="G54" s="188" t="str">
        <x:v>跨层深度维KV合并</x:v>
      </x:c>
      <x:c r="H54" s="188" t="str">
        <x:v>KV量化/压缩</x:v>
      </x:c>
      <x:c r="I54" s="188" t="str">
        <x:v>通用长上下文LLM</x:v>
      </x:c>
      <x:c r="J54" s="188" t="str">
        <x:v>请求内/驻留KV压缩</x:v>
      </x:c>
      <x:c r="K54" s="188" t="str">
        <x:v>GPU KV容量优化</x:v>
      </x:c>
      <x:c r="L54" s="188" t="str">
        <x:v>已有本地PDF</x:v>
      </x:c>
      <x:c r="M54" s="188" t="str">
        <x:v>缓解容量，但可能引入质量与解压开销；不直接解决跨轮返回与层级放置。</x:v>
      </x:c>
      <x:c r="N54" s="202" t="str">
        <x:v>G8 适用边界</x:v>
      </x:c>
      <x:c r="O54" s="202" t="str">
        <x:v>中</x:v>
      </x:c>
      <x:c r="P54" s="202" t="str">
        <x:v>高</x:v>
      </x:c>
      <x:c r="Q54" s="203" t="str">
        <x:v>https://arxiv.org/abs/2405.14366</x:v>
      </x:c>
      <x:c r="R54" s="203" t="str"/>
    </x:row>
    <x:row r="55" ht="54" customHeight="1">
      <x:c r="A55" s="193" t="str">
        <x:v>P54</x:v>
      </x:c>
      <x:c r="B55" s="193" t="str">
        <x:v>既有76篇资料包</x:v>
      </x:c>
      <x:c r="C55" s="193" t="str">
        <x:v>B</x:v>
      </x:c>
      <x:c r="D55" s="201" t="n">
        <x:v>2024</x:v>
      </x:c>
      <x:c r="E55" s="193" t="str">
        <x:v>压缩淘汰与注意力架构</x:v>
      </x:c>
      <x:c r="F55" s="188" t="str">
        <x:v>MiniKV: Pushing the Limits of LLM Inference via 2-Bit Layer-Discriminative KV Cache</x:v>
      </x:c>
      <x:c r="G55" s="188" t="str">
        <x:v>低至2bit的混合KV压缩</x:v>
      </x:c>
      <x:c r="H55" s="188" t="str">
        <x:v>KV量化/压缩</x:v>
      </x:c>
      <x:c r="I55" s="188" t="str">
        <x:v>通用长上下文LLM</x:v>
      </x:c>
      <x:c r="J55" s="188" t="str">
        <x:v>请求内/驻留KV压缩</x:v>
      </x:c>
      <x:c r="K55" s="188" t="str">
        <x:v>GPU KV容量优化</x:v>
      </x:c>
      <x:c r="L55" s="188" t="str">
        <x:v>官方论文入口与摘要</x:v>
      </x:c>
      <x:c r="M55" s="188" t="str">
        <x:v>缓解容量，但可能引入质量与解压开销；不直接解决跨轮返回与层级放置。</x:v>
      </x:c>
      <x:c r="N55" s="202" t="str">
        <x:v>G8 适用边界</x:v>
      </x:c>
      <x:c r="O55" s="202" t="str">
        <x:v>中</x:v>
      </x:c>
      <x:c r="P55" s="202" t="str">
        <x:v>中</x:v>
      </x:c>
      <x:c r="Q55" s="203" t="str">
        <x:v>https://arxiv.org/abs/2411.18077</x:v>
      </x:c>
      <x:c r="R55" s="203" t="str"/>
    </x:row>
    <x:row r="56" ht="54" customHeight="1">
      <x:c r="A56" s="193" t="str">
        <x:v>P55</x:v>
      </x:c>
      <x:c r="B56" s="193" t="str">
        <x:v>既有76篇资料包</x:v>
      </x:c>
      <x:c r="C56" s="193" t="str">
        <x:v>B</x:v>
      </x:c>
      <x:c r="D56" s="201" t="n">
        <x:v>2024</x:v>
      </x:c>
      <x:c r="E56" s="193" t="str">
        <x:v>压缩淘汰与注意力架构</x:v>
      </x:c>
      <x:c r="F56" s="188" t="str">
        <x:v>FDC: Fast KV Dimensionality Compression for Efficient LLM Inference</x:v>
      </x:c>
      <x:c r="G56" s="188" t="str">
        <x:v>维度压缩与解压开销消除</x:v>
      </x:c>
      <x:c r="H56" s="188" t="str">
        <x:v>KV量化/压缩</x:v>
      </x:c>
      <x:c r="I56" s="188" t="str">
        <x:v>通用长上下文LLM</x:v>
      </x:c>
      <x:c r="J56" s="188" t="str">
        <x:v>请求内/驻留KV压缩</x:v>
      </x:c>
      <x:c r="K56" s="188" t="str">
        <x:v>GPU KV容量优化</x:v>
      </x:c>
      <x:c r="L56" s="188" t="str">
        <x:v>已有本地PDF</x:v>
      </x:c>
      <x:c r="M56" s="188" t="str">
        <x:v>缓解容量，但可能引入质量与解压开销；不直接解决跨轮返回与层级放置。</x:v>
      </x:c>
      <x:c r="N56" s="202" t="str">
        <x:v>G8 适用边界</x:v>
      </x:c>
      <x:c r="O56" s="202" t="str">
        <x:v>中</x:v>
      </x:c>
      <x:c r="P56" s="202" t="str">
        <x:v>中</x:v>
      </x:c>
      <x:c r="Q56" s="203" t="str">
        <x:v>https://arxiv.org/abs/2408.04107</x:v>
      </x:c>
      <x:c r="R56" s="203" t="str"/>
    </x:row>
    <x:row r="57" ht="54" customHeight="1">
      <x:c r="A57" s="193" t="str">
        <x:v>P56</x:v>
      </x:c>
      <x:c r="B57" s="193" t="str">
        <x:v>既有76篇资料包</x:v>
      </x:c>
      <x:c r="C57" s="193" t="str">
        <x:v>B</x:v>
      </x:c>
      <x:c r="D57" s="201" t="n">
        <x:v>2024</x:v>
      </x:c>
      <x:c r="E57" s="193" t="str">
        <x:v>压缩淘汰与注意力架构</x:v>
      </x:c>
      <x:c r="F57" s="188" t="str">
        <x:v>QAQ: Quality Adaptive Quantization for LLM KV Cache</x:v>
      </x:c>
      <x:c r="G57" s="188" t="str">
        <x:v>质量自适应KV量化</x:v>
      </x:c>
      <x:c r="H57" s="188" t="str">
        <x:v>KV量化/压缩</x:v>
      </x:c>
      <x:c r="I57" s="188" t="str">
        <x:v>通用长上下文LLM</x:v>
      </x:c>
      <x:c r="J57" s="188" t="str">
        <x:v>请求内/驻留KV压缩</x:v>
      </x:c>
      <x:c r="K57" s="188" t="str">
        <x:v>GPU KV容量优化</x:v>
      </x:c>
      <x:c r="L57" s="188" t="str">
        <x:v>已有本地PDF</x:v>
      </x:c>
      <x:c r="M57" s="188" t="str">
        <x:v>缓解容量，但可能引入质量与解压开销；不直接解决跨轮返回与层级放置。</x:v>
      </x:c>
      <x:c r="N57" s="202" t="str">
        <x:v>G8 适用边界</x:v>
      </x:c>
      <x:c r="O57" s="202" t="str">
        <x:v>中</x:v>
      </x:c>
      <x:c r="P57" s="202" t="str">
        <x:v>中</x:v>
      </x:c>
      <x:c r="Q57" s="203" t="str">
        <x:v>https://arxiv.org/abs/2403.04643</x:v>
      </x:c>
      <x:c r="R57" s="203" t="str"/>
    </x:row>
    <x:row r="58" ht="54" customHeight="1">
      <x:c r="A58" s="193" t="str">
        <x:v>P57</x:v>
      </x:c>
      <x:c r="B58" s="193" t="str">
        <x:v>既有76篇资料包</x:v>
      </x:c>
      <x:c r="C58" s="193" t="str">
        <x:v>B</x:v>
      </x:c>
      <x:c r="D58" s="201" t="n">
        <x:v>2024</x:v>
      </x:c>
      <x:c r="E58" s="193" t="str">
        <x:v>压缩淘汰与注意力架构</x:v>
      </x:c>
      <x:c r="F58" s="188" t="str">
        <x:v>SKVQ: Sliding-window Key and Value Cache Quantization for Large Language Models</x:v>
      </x:c>
      <x:c r="G58" s="188" t="str">
        <x:v>滑动窗口低比特KV量化</x:v>
      </x:c>
      <x:c r="H58" s="188" t="str">
        <x:v>KV量化/压缩</x:v>
      </x:c>
      <x:c r="I58" s="188" t="str">
        <x:v>通用长上下文LLM</x:v>
      </x:c>
      <x:c r="J58" s="188" t="str">
        <x:v>请求内/驻留KV压缩</x:v>
      </x:c>
      <x:c r="K58" s="188" t="str">
        <x:v>GPU KV容量优化</x:v>
      </x:c>
      <x:c r="L58" s="188" t="str">
        <x:v>官方论文入口与摘要</x:v>
      </x:c>
      <x:c r="M58" s="188" t="str">
        <x:v>缓解容量，但可能引入质量与解压开销；不直接解决跨轮返回与层级放置。</x:v>
      </x:c>
      <x:c r="N58" s="202" t="str">
        <x:v>G8 适用边界</x:v>
      </x:c>
      <x:c r="O58" s="202" t="str">
        <x:v>中</x:v>
      </x:c>
      <x:c r="P58" s="202" t="str">
        <x:v>中</x:v>
      </x:c>
      <x:c r="Q58" s="203" t="str">
        <x:v>https://arxiv.org/abs/2405.06219</x:v>
      </x:c>
      <x:c r="R58" s="203" t="str"/>
    </x:row>
    <x:row r="59" ht="54" customHeight="1">
      <x:c r="A59" s="193" t="str">
        <x:v>P58</x:v>
      </x:c>
      <x:c r="B59" s="193" t="str">
        <x:v>既有76篇资料包</x:v>
      </x:c>
      <x:c r="C59" s="193" t="str">
        <x:v>B</x:v>
      </x:c>
      <x:c r="D59" s="201" t="n">
        <x:v>2024</x:v>
      </x:c>
      <x:c r="E59" s="193" t="str">
        <x:v>压缩淘汰与注意力架构</x:v>
      </x:c>
      <x:c r="F59" s="188" t="str">
        <x:v>PQCache: Product Quantization-based KVCache for Long Context LLM Inference</x:v>
      </x:c>
      <x:c r="G59" s="188" t="str">
        <x:v>乘积量化长上下文KV缓存</x:v>
      </x:c>
      <x:c r="H59" s="188" t="str">
        <x:v>KV量化/压缩</x:v>
      </x:c>
      <x:c r="I59" s="188" t="str">
        <x:v>通用长上下文LLM</x:v>
      </x:c>
      <x:c r="J59" s="188" t="str">
        <x:v>请求内/驻留KV压缩</x:v>
      </x:c>
      <x:c r="K59" s="188" t="str">
        <x:v>GPU KV容量优化</x:v>
      </x:c>
      <x:c r="L59" s="188" t="str">
        <x:v>官方论文入口与摘要</x:v>
      </x:c>
      <x:c r="M59" s="188" t="str">
        <x:v>缓解容量，但可能引入质量与解压开销；不直接解决跨轮返回与层级放置。</x:v>
      </x:c>
      <x:c r="N59" s="202" t="str">
        <x:v>G8 适用边界</x:v>
      </x:c>
      <x:c r="O59" s="202" t="str">
        <x:v>中</x:v>
      </x:c>
      <x:c r="P59" s="202" t="str">
        <x:v>中</x:v>
      </x:c>
      <x:c r="Q59" s="203" t="str">
        <x:v>https://arxiv.org/abs/2407.12820</x:v>
      </x:c>
      <x:c r="R59" s="203" t="str"/>
    </x:row>
    <x:row r="60" ht="54" customHeight="1">
      <x:c r="A60" s="193" t="str">
        <x:v>P59</x:v>
      </x:c>
      <x:c r="B60" s="193" t="str">
        <x:v>既有76篇资料包</x:v>
      </x:c>
      <x:c r="C60" s="193" t="str">
        <x:v>B</x:v>
      </x:c>
      <x:c r="D60" s="201" t="n">
        <x:v>2024</x:v>
      </x:c>
      <x:c r="E60" s="193" t="str">
        <x:v>压缩淘汰与注意力架构</x:v>
      </x:c>
      <x:c r="F60" s="188" t="str">
        <x:v>DuoAttention: Efficient Long-Context LLM Inference with Retrieval and Streaming Heads</x:v>
      </x:c>
      <x:c r="G60" s="188" t="str">
        <x:v>检索头与流式头分离</x:v>
      </x:c>
      <x:c r="H60" s="188" t="str">
        <x:v>注意力架构兼容</x:v>
      </x:c>
      <x:c r="I60" s="188" t="str">
        <x:v>通用长上下文LLM</x:v>
      </x:c>
      <x:c r="J60" s="188" t="str">
        <x:v>KV表示与Head结构</x:v>
      </x:c>
      <x:c r="K60" s="188" t="str">
        <x:v>GPU KV容量优化</x:v>
      </x:c>
      <x:c r="L60" s="188" t="str">
        <x:v>官方论文入口与摘要</x:v>
      </x:c>
      <x:c r="M60" s="188" t="str">
        <x:v>决定KV格式和容量，但不是跨会话分层保留策略；应在后续兼容阶段单独验证。</x:v>
      </x:c>
      <x:c r="N60" s="202" t="str">
        <x:v>G8 适用边界</x:v>
      </x:c>
      <x:c r="O60" s="202" t="str">
        <x:v>中</x:v>
      </x:c>
      <x:c r="P60" s="202" t="str">
        <x:v>中</x:v>
      </x:c>
      <x:c r="Q60" s="203" t="str">
        <x:v>https://arxiv.org/abs/2410.10819</x:v>
      </x:c>
      <x:c r="R60" s="203" t="str"/>
    </x:row>
    <x:row r="61" ht="54" customHeight="1">
      <x:c r="A61" s="193" t="str">
        <x:v>P60</x:v>
      </x:c>
      <x:c r="B61" s="193" t="str">
        <x:v>既有76篇资料包</x:v>
      </x:c>
      <x:c r="C61" s="193" t="str">
        <x:v>B</x:v>
      </x:c>
      <x:c r="D61" s="201" t="n">
        <x:v>2024</x:v>
      </x:c>
      <x:c r="E61" s="193" t="str">
        <x:v>压缩淘汰与注意力架构</x:v>
      </x:c>
      <x:c r="F61" s="188" t="str">
        <x:v>Keep the Cost Down: A Review on Methods to Optimize LLM' s KV-Cache Consumption</x:v>
      </x:c>
      <x:c r="G61" s="188" t="str">
        <x:v>KV缓存优化方法综述</x:v>
      </x:c>
      <x:c r="H61" s="188" t="str">
        <x:v>KV量化/压缩</x:v>
      </x:c>
      <x:c r="I61" s="188" t="str">
        <x:v>通用长上下文LLM</x:v>
      </x:c>
      <x:c r="J61" s="188" t="str">
        <x:v>请求内/驻留KV压缩</x:v>
      </x:c>
      <x:c r="K61" s="188" t="str">
        <x:v>GPU KV容量优化</x:v>
      </x:c>
      <x:c r="L61" s="188" t="str">
        <x:v>官方论文入口与摘要</x:v>
      </x:c>
      <x:c r="M61" s="188" t="str">
        <x:v>缓解容量，但可能引入质量与解压开销；不直接解决跨轮返回与层级放置。</x:v>
      </x:c>
      <x:c r="N61" s="202" t="str">
        <x:v>G8 适用边界</x:v>
      </x:c>
      <x:c r="O61" s="202" t="str">
        <x:v>中</x:v>
      </x:c>
      <x:c r="P61" s="202" t="str">
        <x:v>中</x:v>
      </x:c>
      <x:c r="Q61" s="203" t="str">
        <x:v>https://arxiv.org/abs/2407.18003</x:v>
      </x:c>
      <x:c r="R61" s="203" t="str"/>
    </x:row>
    <x:row r="62" ht="54" customHeight="1">
      <x:c r="A62" s="193" t="str">
        <x:v>P61</x:v>
      </x:c>
      <x:c r="B62" s="193" t="str">
        <x:v>既有76篇资料包</x:v>
      </x:c>
      <x:c r="C62" s="193" t="str">
        <x:v>B</x:v>
      </x:c>
      <x:c r="D62" s="201" t="n">
        <x:v>2024</x:v>
      </x:c>
      <x:c r="E62" s="193" t="str">
        <x:v>压缩淘汰与注意力架构</x:v>
      </x:c>
      <x:c r="F62" s="188" t="str">
        <x:v>A Survey on Large Language Model Acceleration based on KV Cache Management</x:v>
      </x:c>
      <x:c r="G62" s="188" t="str">
        <x:v>KV缓存加速分类综述</x:v>
      </x:c>
      <x:c r="H62" s="188" t="str">
        <x:v>KV量化/压缩</x:v>
      </x:c>
      <x:c r="I62" s="188" t="str">
        <x:v>通用长上下文LLM</x:v>
      </x:c>
      <x:c r="J62" s="188" t="str">
        <x:v>请求内/驻留KV压缩</x:v>
      </x:c>
      <x:c r="K62" s="188" t="str">
        <x:v>GPU KV容量优化</x:v>
      </x:c>
      <x:c r="L62" s="188" t="str">
        <x:v>官方论文入口与摘要</x:v>
      </x:c>
      <x:c r="M62" s="188" t="str">
        <x:v>缓解容量，但可能引入质量与解压开销；不直接解决跨轮返回与层级放置。</x:v>
      </x:c>
      <x:c r="N62" s="202" t="str">
        <x:v>G8 适用边界</x:v>
      </x:c>
      <x:c r="O62" s="202" t="str">
        <x:v>中</x:v>
      </x:c>
      <x:c r="P62" s="202" t="str">
        <x:v>中</x:v>
      </x:c>
      <x:c r="Q62" s="203" t="str">
        <x:v>https://arxiv.org/abs/2412.19442</x:v>
      </x:c>
      <x:c r="R62" s="203" t="str"/>
    </x:row>
    <x:row r="63" ht="54" customHeight="1">
      <x:c r="A63" s="193" t="str">
        <x:v>P62</x:v>
      </x:c>
      <x:c r="B63" s="193" t="str">
        <x:v>既有76篇资料包</x:v>
      </x:c>
      <x:c r="C63" s="193" t="str">
        <x:v>A</x:v>
      </x:c>
      <x:c r="D63" s="201" t="n">
        <x:v>2024</x:v>
      </x:c>
      <x:c r="E63" s="193" t="str">
        <x:v>压缩淘汰与注意力架构</x:v>
      </x:c>
      <x:c r="F63" s="188" t="str">
        <x:v>DeepSeek-V2: A Strong, Economical, and Efficient Mixture-of-Experts Language Model</x:v>
      </x:c>
      <x:c r="G63" s="188" t="str">
        <x:v>MLA结构及KV表示变化</x:v>
      </x:c>
      <x:c r="H63" s="188" t="str">
        <x:v>注意力架构兼容</x:v>
      </x:c>
      <x:c r="I63" s="188" t="str">
        <x:v>通用长上下文LLM</x:v>
      </x:c>
      <x:c r="J63" s="188" t="str">
        <x:v>KV表示与Head结构</x:v>
      </x:c>
      <x:c r="K63" s="188" t="str">
        <x:v>GPU KV容量优化</x:v>
      </x:c>
      <x:c r="L63" s="188" t="str">
        <x:v>官方论文入口与摘要</x:v>
      </x:c>
      <x:c r="M63" s="188" t="str">
        <x:v>决定KV格式和容量，但不是跨会话分层保留策略；应在后续兼容阶段单独验证。</x:v>
      </x:c>
      <x:c r="N63" s="202" t="str">
        <x:v>G8 适用边界</x:v>
      </x:c>
      <x:c r="O63" s="202" t="str">
        <x:v>中</x:v>
      </x:c>
      <x:c r="P63" s="202" t="str">
        <x:v>中高</x:v>
      </x:c>
      <x:c r="Q63" s="203" t="str">
        <x:v>https://arxiv.org/abs/2405.04434</x:v>
      </x:c>
      <x:c r="R63" s="203" t="str"/>
    </x:row>
    <x:row r="64" ht="54" customHeight="1">
      <x:c r="A64" s="193" t="str">
        <x:v>P63</x:v>
      </x:c>
      <x:c r="B64" s="193" t="str">
        <x:v>既有76篇资料包</x:v>
      </x:c>
      <x:c r="C64" s="193" t="str">
        <x:v>A</x:v>
      </x:c>
      <x:c r="D64" s="201" t="n">
        <x:v>2024</x:v>
      </x:c>
      <x:c r="E64" s="193" t="str">
        <x:v>压缩淘汰与注意力架构</x:v>
      </x:c>
      <x:c r="F64" s="188" t="str">
        <x:v>DeepSeek-V3 Technical Report</x:v>
      </x:c>
      <x:c r="G64" s="188" t="str">
        <x:v>DeepSeek V3架构与MLA实现背景</x:v>
      </x:c>
      <x:c r="H64" s="188" t="str">
        <x:v>注意力架构兼容</x:v>
      </x:c>
      <x:c r="I64" s="188" t="str">
        <x:v>通用长上下文LLM</x:v>
      </x:c>
      <x:c r="J64" s="188" t="str">
        <x:v>KV表示与Head结构</x:v>
      </x:c>
      <x:c r="K64" s="188" t="str">
        <x:v>GPU KV容量优化</x:v>
      </x:c>
      <x:c r="L64" s="188" t="str">
        <x:v>官方论文入口与摘要</x:v>
      </x:c>
      <x:c r="M64" s="188" t="str">
        <x:v>决定KV格式和容量，但不是跨会话分层保留策略；应在后续兼容阶段单独验证。</x:v>
      </x:c>
      <x:c r="N64" s="202" t="str">
        <x:v>G8 适用边界</x:v>
      </x:c>
      <x:c r="O64" s="202" t="str">
        <x:v>中</x:v>
      </x:c>
      <x:c r="P64" s="202" t="str">
        <x:v>中高</x:v>
      </x:c>
      <x:c r="Q64" s="203" t="str">
        <x:v>https://arxiv.org/abs/2412.19437</x:v>
      </x:c>
      <x:c r="R64" s="203" t="str"/>
    </x:row>
    <x:row r="65" ht="54" customHeight="1">
      <x:c r="A65" s="193" t="str">
        <x:v>P64</x:v>
      </x:c>
      <x:c r="B65" s="193" t="str">
        <x:v>既有76篇资料包</x:v>
      </x:c>
      <x:c r="C65" s="193" t="str">
        <x:v>B</x:v>
      </x:c>
      <x:c r="D65" s="201" t="n">
        <x:v>2025</x:v>
      </x:c>
      <x:c r="E65" s="193" t="str">
        <x:v>压缩淘汰与注意力架构</x:v>
      </x:c>
      <x:c r="F65" s="188" t="str">
        <x:v>DeepSeek-V3.2: Pushing the Frontier of Open Large Language Models</x:v>
      </x:c>
      <x:c r="G65" s="188" t="str">
        <x:v>DSA结构与稀疏注意力兼容性</x:v>
      </x:c>
      <x:c r="H65" s="188" t="str">
        <x:v>注意力架构兼容</x:v>
      </x:c>
      <x:c r="I65" s="188" t="str">
        <x:v>通用长上下文LLM</x:v>
      </x:c>
      <x:c r="J65" s="188" t="str">
        <x:v>KV表示与Head结构</x:v>
      </x:c>
      <x:c r="K65" s="188" t="str">
        <x:v>GPU KV容量优化</x:v>
      </x:c>
      <x:c r="L65" s="188" t="str">
        <x:v>官方论文入口与摘要</x:v>
      </x:c>
      <x:c r="M65" s="188" t="str">
        <x:v>决定KV格式和容量，但不是跨会话分层保留策略；应在后续兼容阶段单独验证。</x:v>
      </x:c>
      <x:c r="N65" s="202" t="str">
        <x:v>G8 适用边界</x:v>
      </x:c>
      <x:c r="O65" s="202" t="str">
        <x:v>中</x:v>
      </x:c>
      <x:c r="P65" s="202" t="str">
        <x:v>中</x:v>
      </x:c>
      <x:c r="Q65" s="203" t="str">
        <x:v>https://arxiv.org/abs/2512.02556</x:v>
      </x:c>
      <x:c r="R65" s="203" t="str"/>
    </x:row>
    <x:row r="66" ht="54" customHeight="1">
      <x:c r="A66" s="193" t="str">
        <x:v>P65</x:v>
      </x:c>
      <x:c r="B66" s="193" t="str">
        <x:v>既有76篇资料包</x:v>
      </x:c>
      <x:c r="C66" s="193" t="str">
        <x:v>A</x:v>
      </x:c>
      <x:c r="D66" s="201" t="n">
        <x:v>2023</x:v>
      </x:c>
      <x:c r="E66" s="193" t="str">
        <x:v>压缩淘汰与注意力架构</x:v>
      </x:c>
      <x:c r="F66" s="188" t="str">
        <x:v>GQA: Training Generalized Multi-Query Transformer Models from Multi-Head Checkpoints</x:v>
      </x:c>
      <x:c r="G66" s="188" t="str">
        <x:v>GQA结构与KV头共享</x:v>
      </x:c>
      <x:c r="H66" s="188" t="str">
        <x:v>注意力架构兼容</x:v>
      </x:c>
      <x:c r="I66" s="188" t="str">
        <x:v>通用长上下文LLM</x:v>
      </x:c>
      <x:c r="J66" s="188" t="str">
        <x:v>KV表示与Head结构</x:v>
      </x:c>
      <x:c r="K66" s="188" t="str">
        <x:v>GPU KV容量优化</x:v>
      </x:c>
      <x:c r="L66" s="188" t="str">
        <x:v>已有本地PDF</x:v>
      </x:c>
      <x:c r="M66" s="188" t="str">
        <x:v>决定KV格式和容量，但不是跨会话分层保留策略；应在后续兼容阶段单独验证。</x:v>
      </x:c>
      <x:c r="N66" s="202" t="str">
        <x:v>G8 适用边界</x:v>
      </x:c>
      <x:c r="O66" s="202" t="str">
        <x:v>中</x:v>
      </x:c>
      <x:c r="P66" s="202" t="str">
        <x:v>高</x:v>
      </x:c>
      <x:c r="Q66" s="203" t="str">
        <x:v>https://arxiv.org/abs/2305.13245</x:v>
      </x:c>
      <x:c r="R66" s="203" t="str"/>
    </x:row>
    <x:row r="67" ht="54" customHeight="1">
      <x:c r="A67" s="193" t="str">
        <x:v>P66</x:v>
      </x:c>
      <x:c r="B67" s="193" t="str">
        <x:v>既有76篇资料包</x:v>
      </x:c>
      <x:c r="C67" s="193" t="str">
        <x:v>B</x:v>
      </x:c>
      <x:c r="D67" s="201" t="n">
        <x:v>2019</x:v>
      </x:c>
      <x:c r="E67" s="193" t="str">
        <x:v>压缩淘汰与注意力架构</x:v>
      </x:c>
      <x:c r="F67" s="188" t="str">
        <x:v>Fast Transformer Decoding: One Write-Head is All You Need</x:v>
      </x:c>
      <x:c r="G67" s="188" t="str">
        <x:v>Multi Query Attention早期结构基线</x:v>
      </x:c>
      <x:c r="H67" s="188" t="str">
        <x:v>注意力架构兼容</x:v>
      </x:c>
      <x:c r="I67" s="188" t="str">
        <x:v>通用长上下文LLM</x:v>
      </x:c>
      <x:c r="J67" s="188" t="str">
        <x:v>KV表示与Head结构</x:v>
      </x:c>
      <x:c r="K67" s="188" t="str">
        <x:v>GPU KV容量优化</x:v>
      </x:c>
      <x:c r="L67" s="188" t="str">
        <x:v>官方论文入口与摘要</x:v>
      </x:c>
      <x:c r="M67" s="188" t="str">
        <x:v>决定KV格式和容量，但不是跨会话分层保留策略；应在后续兼容阶段单独验证。</x:v>
      </x:c>
      <x:c r="N67" s="202" t="str">
        <x:v>G8 适用边界</x:v>
      </x:c>
      <x:c r="O67" s="202" t="str">
        <x:v>中</x:v>
      </x:c>
      <x:c r="P67" s="202" t="str">
        <x:v>中</x:v>
      </x:c>
      <x:c r="Q67" s="203" t="str">
        <x:v>https://arxiv.org/abs/1911.02150</x:v>
      </x:c>
      <x:c r="R67" s="203" t="str"/>
    </x:row>
    <x:row r="68" ht="54" customHeight="1">
      <x:c r="A68" s="193" t="str">
        <x:v>P67</x:v>
      </x:c>
      <x:c r="B68" s="193" t="str">
        <x:v>既有76篇资料包</x:v>
      </x:c>
      <x:c r="C68" s="193" t="str">
        <x:v>A</x:v>
      </x:c>
      <x:c r="D68" s="201" t="n">
        <x:v>2023</x:v>
      </x:c>
      <x:c r="E68" s="193" t="str">
        <x:v>评测方法与安全隔离</x:v>
      </x:c>
      <x:c r="F68" s="188" t="str">
        <x:v>LongBench: A Bilingual, Multitask Benchmark for Long Context Understanding</x:v>
      </x:c>
      <x:c r="G68" s="188" t="str">
        <x:v>长上下文多任务评测基准</x:v>
      </x:c>
      <x:c r="H68" s="188" t="str">
        <x:v>评测方法/长上下文基准</x:v>
      </x:c>
      <x:c r="I68" s="188" t="str">
        <x:v>通用长上下文/共享服务</x:v>
      </x:c>
      <x:c r="J68" s="188" t="str">
        <x:v>质量与性能评测</x:v>
      </x:c>
      <x:c r="K68" s="188" t="str">
        <x:v>评测或安全边界</x:v>
      </x:c>
      <x:c r="L68" s="188" t="str">
        <x:v>官方论文入口与摘要</x:v>
      </x:c>
      <x:c r="M68" s="188" t="str">
        <x:v>提供评测工具或复核结论，但不是Code Agent分层缓存机制。</x:v>
      </x:c>
      <x:c r="N68" s="202" t="str">
        <x:v>G4 成功任务成本</x:v>
      </x:c>
      <x:c r="O68" s="202" t="str">
        <x:v>中</x:v>
      </x:c>
      <x:c r="P68" s="202" t="str">
        <x:v>中高</x:v>
      </x:c>
      <x:c r="Q68" s="203" t="str">
        <x:v>https://arxiv.org/abs/2308.14508</x:v>
      </x:c>
      <x:c r="R68" s="203" t="str"/>
    </x:row>
    <x:row r="69" ht="54" customHeight="1">
      <x:c r="A69" s="193" t="str">
        <x:v>P68</x:v>
      </x:c>
      <x:c r="B69" s="193" t="str">
        <x:v>既有76篇资料包</x:v>
      </x:c>
      <x:c r="C69" s="193" t="str">
        <x:v>A</x:v>
      </x:c>
      <x:c r="D69" s="201" t="n">
        <x:v>2024</x:v>
      </x:c>
      <x:c r="E69" s="193" t="str">
        <x:v>评测方法与安全隔离</x:v>
      </x:c>
      <x:c r="F69" s="188" t="str">
        <x:v>RULER: What's the Real Context Size of Your Long-Context Language Models?</x:v>
      </x:c>
      <x:c r="G69" s="188" t="str">
        <x:v>长上下文压力测试与长度外推</x:v>
      </x:c>
      <x:c r="H69" s="188" t="str">
        <x:v>评测方法/长上下文基准</x:v>
      </x:c>
      <x:c r="I69" s="188" t="str">
        <x:v>通用长上下文/共享服务</x:v>
      </x:c>
      <x:c r="J69" s="188" t="str">
        <x:v>质量与性能评测</x:v>
      </x:c>
      <x:c r="K69" s="188" t="str">
        <x:v>评测或安全边界</x:v>
      </x:c>
      <x:c r="L69" s="188" t="str">
        <x:v>已有本地PDF</x:v>
      </x:c>
      <x:c r="M69" s="188" t="str">
        <x:v>提供评测工具或复核结论，但不是Code Agent分层缓存机制。</x:v>
      </x:c>
      <x:c r="N69" s="202" t="str">
        <x:v>G4 成功任务成本</x:v>
      </x:c>
      <x:c r="O69" s="202" t="str">
        <x:v>中</x:v>
      </x:c>
      <x:c r="P69" s="202" t="str">
        <x:v>高</x:v>
      </x:c>
      <x:c r="Q69" s="203" t="str">
        <x:v>https://arxiv.org/abs/2404.06654</x:v>
      </x:c>
      <x:c r="R69" s="203" t="str"/>
    </x:row>
    <x:row r="70" ht="54" customHeight="1">
      <x:c r="A70" s="193" t="str">
        <x:v>P69</x:v>
      </x:c>
      <x:c r="B70" s="193" t="str">
        <x:v>既有76篇资料包</x:v>
      </x:c>
      <x:c r="C70" s="193" t="str">
        <x:v>A</x:v>
      </x:c>
      <x:c r="D70" s="201" t="n">
        <x:v>2025</x:v>
      </x:c>
      <x:c r="E70" s="193" t="str">
        <x:v>评测方法与安全隔离</x:v>
      </x:c>
      <x:c r="F70" s="188" t="str">
        <x:v>Rethinking Key-Value Cache Compression Techniques for Large Language Model Serving</x:v>
      </x:c>
      <x:c r="G70" s="188" t="str">
        <x:v>生产视角KV压缩收益复核</x:v>
      </x:c>
      <x:c r="H70" s="188" t="str">
        <x:v>评测方法/长上下文基准</x:v>
      </x:c>
      <x:c r="I70" s="188" t="str">
        <x:v>通用长上下文/共享服务</x:v>
      </x:c>
      <x:c r="J70" s="188" t="str">
        <x:v>质量与性能评测</x:v>
      </x:c>
      <x:c r="K70" s="188" t="str">
        <x:v>评测或安全边界</x:v>
      </x:c>
      <x:c r="L70" s="188" t="str">
        <x:v>官方论文入口与摘要</x:v>
      </x:c>
      <x:c r="M70" s="188" t="str">
        <x:v>提供评测工具或复核结论，但不是Code Agent分层缓存机制。</x:v>
      </x:c>
      <x:c r="N70" s="202" t="str">
        <x:v>G4 成功任务成本</x:v>
      </x:c>
      <x:c r="O70" s="202" t="str">
        <x:v>高</x:v>
      </x:c>
      <x:c r="P70" s="202" t="str">
        <x:v>中高</x:v>
      </x:c>
      <x:c r="Q70" s="203" t="str">
        <x:v>https://arxiv.org/abs/2503.24000</x:v>
      </x:c>
      <x:c r="R70" s="203" t="str"/>
    </x:row>
    <x:row r="71" ht="54" customHeight="1">
      <x:c r="A71" s="193" t="str">
        <x:v>P70</x:v>
      </x:c>
      <x:c r="B71" s="193" t="str">
        <x:v>既有76篇资料包</x:v>
      </x:c>
      <x:c r="C71" s="193" t="str">
        <x:v>A</x:v>
      </x:c>
      <x:c r="D71" s="201" t="n">
        <x:v>2025</x:v>
      </x:c>
      <x:c r="E71" s="193" t="str">
        <x:v>评测方法与安全隔离</x:v>
      </x:c>
      <x:c r="F71" s="188" t="str">
        <x:v>Auditing Prompt Caching in Language Model APIs</x:v>
      </x:c>
      <x:c r="G71" s="188" t="str">
        <x:v>Prompt缓存时序侧信道审计</x:v>
      </x:c>
      <x:c r="H71" s="188" t="str">
        <x:v>缓存安全与隔离</x:v>
      </x:c>
      <x:c r="I71" s="188" t="str">
        <x:v>通用长上下文/共享服务</x:v>
      </x:c>
      <x:c r="J71" s="188" t="str">
        <x:v>跨租户共享风险</x:v>
      </x:c>
      <x:c r="K71" s="188" t="str">
        <x:v>评测或安全边界</x:v>
      </x:c>
      <x:c r="L71" s="188" t="str">
        <x:v>已有本地PDF</x:v>
      </x:c>
      <x:c r="M71" s="188" t="str">
        <x:v>揭示安全边界；本项目必须把租户/会话/模型版本纳入缓存键并做负面测试。</x:v>
      </x:c>
      <x:c r="N71" s="202" t="str">
        <x:v>G7 安全隔离</x:v>
      </x:c>
      <x:c r="O71" s="202" t="str">
        <x:v>高</x:v>
      </x:c>
      <x:c r="P71" s="202" t="str">
        <x:v>高</x:v>
      </x:c>
      <x:c r="Q71" s="203" t="str">
        <x:v>https://arxiv.org/abs/2502.07776</x:v>
      </x:c>
      <x:c r="R71" s="203" t="str"/>
    </x:row>
    <x:row r="72" ht="54" customHeight="1">
      <x:c r="A72" s="193" t="str">
        <x:v>P71</x:v>
      </x:c>
      <x:c r="B72" s="193" t="str">
        <x:v>既有76篇资料包</x:v>
      </x:c>
      <x:c r="C72" s="193" t="str">
        <x:v>B</x:v>
      </x:c>
      <x:c r="D72" s="201" t="n">
        <x:v>2025</x:v>
      </x:c>
      <x:c r="E72" s="193" t="str">
        <x:v>评测方法与安全隔离</x:v>
      </x:c>
      <x:c r="F72" s="188" t="str">
        <x:v>Selective KV-Cache Sharing to Mitigate Timing Side-Channels in LLM Inference</x:v>
      </x:c>
      <x:c r="G72" s="188" t="str">
        <x:v>隐私感知的选择性KV共享</x:v>
      </x:c>
      <x:c r="H72" s="188" t="str">
        <x:v>缓存安全与隔离</x:v>
      </x:c>
      <x:c r="I72" s="188" t="str">
        <x:v>通用长上下文/共享服务</x:v>
      </x:c>
      <x:c r="J72" s="188" t="str">
        <x:v>跨租户共享风险</x:v>
      </x:c>
      <x:c r="K72" s="188" t="str">
        <x:v>评测或安全边界</x:v>
      </x:c>
      <x:c r="L72" s="188" t="str">
        <x:v>官方论文入口与摘要</x:v>
      </x:c>
      <x:c r="M72" s="188" t="str">
        <x:v>揭示安全边界；本项目必须把租户/会话/模型版本纳入缓存键并做负面测试。</x:v>
      </x:c>
      <x:c r="N72" s="202" t="str">
        <x:v>G7 安全隔离</x:v>
      </x:c>
      <x:c r="O72" s="202" t="str">
        <x:v>高</x:v>
      </x:c>
      <x:c r="P72" s="202" t="str">
        <x:v>中</x:v>
      </x:c>
      <x:c r="Q72" s="203" t="str">
        <x:v>https://arxiv.org/abs/2508.08438</x:v>
      </x:c>
      <x:c r="R72" s="203" t="str"/>
    </x:row>
    <x:row r="73" ht="54" customHeight="1">
      <x:c r="A73" s="193" t="str">
        <x:v>P72</x:v>
      </x:c>
      <x:c r="B73" s="193" t="str">
        <x:v>既有76篇资料包</x:v>
      </x:c>
      <x:c r="C73" s="193" t="str">
        <x:v>B</x:v>
      </x:c>
      <x:c r="D73" s="201" t="n">
        <x:v>2025</x:v>
      </x:c>
      <x:c r="E73" s="193" t="str">
        <x:v>评测方法与安全隔离</x:v>
      </x:c>
      <x:c r="F73" s="188" t="str">
        <x:v>Shadow in the Cache: Unveiling and Mitigating Privacy Risks of KV-cache in LLM Inference</x:v>
      </x:c>
      <x:c r="G73" s="188" t="str">
        <x:v>KV张量反演与隐私风险</x:v>
      </x:c>
      <x:c r="H73" s="188" t="str">
        <x:v>缓存安全与隔离</x:v>
      </x:c>
      <x:c r="I73" s="188" t="str">
        <x:v>通用长上下文/共享服务</x:v>
      </x:c>
      <x:c r="J73" s="188" t="str">
        <x:v>跨租户共享风险</x:v>
      </x:c>
      <x:c r="K73" s="188" t="str">
        <x:v>评测或安全边界</x:v>
      </x:c>
      <x:c r="L73" s="188" t="str">
        <x:v>官方论文入口与摘要</x:v>
      </x:c>
      <x:c r="M73" s="188" t="str">
        <x:v>揭示安全边界；本项目必须把租户/会话/模型版本纳入缓存键并做负面测试。</x:v>
      </x:c>
      <x:c r="N73" s="202" t="str">
        <x:v>G7 安全隔离</x:v>
      </x:c>
      <x:c r="O73" s="202" t="str">
        <x:v>高</x:v>
      </x:c>
      <x:c r="P73" s="202" t="str">
        <x:v>中</x:v>
      </x:c>
      <x:c r="Q73" s="203" t="str">
        <x:v>https://arxiv.org/abs/2508.09442</x:v>
      </x:c>
      <x:c r="R73" s="203" t="str"/>
    </x:row>
    <x:row r="74" ht="54" customHeight="1">
      <x:c r="A74" s="193" t="str">
        <x:v>P73</x:v>
      </x:c>
      <x:c r="B74" s="193" t="str">
        <x:v>既有76篇资料包</x:v>
      </x:c>
      <x:c r="C74" s="193" t="str">
        <x:v>B</x:v>
      </x:c>
      <x:c r="D74" s="201" t="n">
        <x:v>2026</x:v>
      </x:c>
      <x:c r="E74" s="193" t="str">
        <x:v>评测方法与安全隔离</x:v>
      </x:c>
      <x:c r="F74" s="188" t="str">
        <x:v>CachePrune: Privacy-Aware and Fine-Grained KV Cache Sharing for Efficient LLM Inference</x:v>
      </x:c>
      <x:c r="G74" s="188" t="str">
        <x:v>细粒度隐私感知缓存共享</x:v>
      </x:c>
      <x:c r="H74" s="188" t="str">
        <x:v>缓存安全与隔离</x:v>
      </x:c>
      <x:c r="I74" s="188" t="str">
        <x:v>通用长上下文/共享服务</x:v>
      </x:c>
      <x:c r="J74" s="188" t="str">
        <x:v>跨租户共享风险</x:v>
      </x:c>
      <x:c r="K74" s="188" t="str">
        <x:v>评测或安全边界</x:v>
      </x:c>
      <x:c r="L74" s="188" t="str">
        <x:v>已有本地PDF</x:v>
      </x:c>
      <x:c r="M74" s="188" t="str">
        <x:v>揭示安全边界；本项目必须把租户/会话/模型版本纳入缓存键并做负面测试。</x:v>
      </x:c>
      <x:c r="N74" s="202" t="str">
        <x:v>G7 安全隔离</x:v>
      </x:c>
      <x:c r="O74" s="202" t="str">
        <x:v>高</x:v>
      </x:c>
      <x:c r="P74" s="202" t="str">
        <x:v>中</x:v>
      </x:c>
      <x:c r="Q74" s="203" t="str">
        <x:v>https://arxiv.org/abs/2605.23640</x:v>
      </x:c>
      <x:c r="R74" s="203" t="str"/>
    </x:row>
    <x:row r="75" ht="54" customHeight="1">
      <x:c r="A75" s="193" t="str">
        <x:v>P74</x:v>
      </x:c>
      <x:c r="B75" s="193" t="str">
        <x:v>既有76篇资料包</x:v>
      </x:c>
      <x:c r="C75" s="193" t="str">
        <x:v>B</x:v>
      </x:c>
      <x:c r="D75" s="201" t="n">
        <x:v>2026</x:v>
      </x:c>
      <x:c r="E75" s="193" t="str">
        <x:v>评测方法与安全隔离</x:v>
      </x:c>
      <x:c r="F75" s="188" t="str">
        <x:v>PrefixWall: Mitigating Prefix Caching Side Channels in Shared LLM Systems</x:v>
      </x:c>
      <x:c r="G75" s="188" t="str">
        <x:v>前缀缓存侧信道防御</x:v>
      </x:c>
      <x:c r="H75" s="188" t="str">
        <x:v>缓存安全与隔离</x:v>
      </x:c>
      <x:c r="I75" s="188" t="str">
        <x:v>通用长上下文/共享服务</x:v>
      </x:c>
      <x:c r="J75" s="188" t="str">
        <x:v>跨租户共享风险</x:v>
      </x:c>
      <x:c r="K75" s="188" t="str">
        <x:v>评测或安全边界</x:v>
      </x:c>
      <x:c r="L75" s="188" t="str">
        <x:v>官方论文入口与摘要</x:v>
      </x:c>
      <x:c r="M75" s="188" t="str">
        <x:v>揭示安全边界；本项目必须把租户/会话/模型版本纳入缓存键并做负面测试。</x:v>
      </x:c>
      <x:c r="N75" s="202" t="str">
        <x:v>G7 安全隔离</x:v>
      </x:c>
      <x:c r="O75" s="202" t="str">
        <x:v>高</x:v>
      </x:c>
      <x:c r="P75" s="202" t="str">
        <x:v>中</x:v>
      </x:c>
      <x:c r="Q75" s="203" t="str">
        <x:v>https://arxiv.org/abs/2603.10726</x:v>
      </x:c>
      <x:c r="R75" s="203" t="str"/>
    </x:row>
    <x:row r="76" ht="54" customHeight="1">
      <x:c r="A76" s="193" t="str">
        <x:v>P75</x:v>
      </x:c>
      <x:c r="B76" s="193" t="str">
        <x:v>既有76篇资料包</x:v>
      </x:c>
      <x:c r="C76" s="193" t="str">
        <x:v>C</x:v>
      </x:c>
      <x:c r="D76" s="201" t="n">
        <x:v>2026</x:v>
      </x:c>
      <x:c r="E76" s="193" t="str">
        <x:v>评测方法与安全隔离</x:v>
      </x:c>
      <x:c r="F76" s="188" t="str">
        <x:v>CacheProbe: Auditing Prompt Cache Isolation in Gateway APIs</x:v>
      </x:c>
      <x:c r="G76" s="188" t="str">
        <x:v>网关API缓存隔离审计</x:v>
      </x:c>
      <x:c r="H76" s="188" t="str">
        <x:v>缓存安全与隔离</x:v>
      </x:c>
      <x:c r="I76" s="188" t="str">
        <x:v>通用长上下文/共享服务</x:v>
      </x:c>
      <x:c r="J76" s="188" t="str">
        <x:v>跨租户共享风险</x:v>
      </x:c>
      <x:c r="K76" s="188" t="str">
        <x:v>评测或安全边界</x:v>
      </x:c>
      <x:c r="L76" s="188" t="str">
        <x:v>官方论文入口与摘要</x:v>
      </x:c>
      <x:c r="M76" s="188" t="str">
        <x:v>揭示安全边界；本项目必须把租户/会话/模型版本纳入缓存键并做负面测试。</x:v>
      </x:c>
      <x:c r="N76" s="202" t="str">
        <x:v>G7 安全隔离</x:v>
      </x:c>
      <x:c r="O76" s="202" t="str">
        <x:v>低</x:v>
      </x:c>
      <x:c r="P76" s="202" t="str">
        <x:v>中</x:v>
      </x:c>
      <x:c r="Q76" s="203" t="str">
        <x:v>https://arxiv.org/abs/2605.30613</x:v>
      </x:c>
      <x:c r="R76" s="203" t="str"/>
    </x:row>
    <x:row r="77" ht="54" customHeight="1">
      <x:c r="A77" s="193" t="str">
        <x:v>P76</x:v>
      </x:c>
      <x:c r="B77" s="193" t="str">
        <x:v>既有76篇资料包</x:v>
      </x:c>
      <x:c r="C77" s="193" t="str">
        <x:v>C</x:v>
      </x:c>
      <x:c r="D77" s="201" t="n">
        <x:v>2026</x:v>
      </x:c>
      <x:c r="E77" s="193" t="str">
        <x:v>评测方法与安全隔离</x:v>
      </x:c>
      <x:c r="F77" s="188" t="str">
        <x:v>HijackKV: New Threat in Position-Independent KV Cache Reuse</x:v>
      </x:c>
      <x:c r="G77" s="188" t="str">
        <x:v>位置无关复用的新型安全威胁</x:v>
      </x:c>
      <x:c r="H77" s="188" t="str">
        <x:v>缓存安全与隔离</x:v>
      </x:c>
      <x:c r="I77" s="188" t="str">
        <x:v>通用长上下文/共享服务</x:v>
      </x:c>
      <x:c r="J77" s="188" t="str">
        <x:v>跨租户共享风险</x:v>
      </x:c>
      <x:c r="K77" s="188" t="str">
        <x:v>评测或安全边界</x:v>
      </x:c>
      <x:c r="L77" s="188" t="str">
        <x:v>已有本地PDF</x:v>
      </x:c>
      <x:c r="M77" s="188" t="str">
        <x:v>揭示安全边界；本项目必须把租户/会话/模型版本纳入缓存键并做负面测试。</x:v>
      </x:c>
      <x:c r="N77" s="202" t="str">
        <x:v>G7 安全隔离</x:v>
      </x:c>
      <x:c r="O77" s="202" t="str">
        <x:v>高</x:v>
      </x:c>
      <x:c r="P77" s="202" t="str">
        <x:v>中</x:v>
      </x:c>
      <x:c r="Q77" s="203" t="str">
        <x:v>https://arxiv.org/abs/2607.19957</x:v>
      </x:c>
      <x:c r="R77" s="203" t="str"/>
    </x:row>
    <x:row r="78" ht="54" customHeight="1">
      <x:c r="A78" s="193" t="str">
        <x:v>S01</x:v>
      </x:c>
      <x:c r="B78" s="193" t="str">
        <x:v>0-4补充检索</x:v>
      </x:c>
      <x:c r="C78" s="193" t="str">
        <x:v>A</x:v>
      </x:c>
      <x:c r="D78" s="201" t="n">
        <x:v>2026</x:v>
      </x:c>
      <x:c r="E78" s="193" t="str">
        <x:v>近期Agent推理与缓存研究</x:v>
      </x:c>
      <x:c r="F78" s="188" t="str">
        <x:v>TraceLab: Characterizing Coding Agent Workloads for LLM Serving</x:v>
      </x:c>
      <x:c r="G78" s="188" t="str">
        <x:v>真实Coding Agent轨迹与理论前缀命中上界</x:v>
      </x:c>
      <x:c r="H78" s="188" t="str">
        <x:v>真实轨迹与工作负载刻画</x:v>
      </x:c>
      <x:c r="I78" s="188" t="str">
        <x:v>Claude Code与Codex日常开发轨迹</x:v>
      </x:c>
      <x:c r="J78" s="188" t="str">
        <x:v>跨轮精确前缀</x:v>
      </x:c>
      <x:c r="K78" s="188" t="str">
        <x:v>未形成完整单机分层策略</x:v>
      </x:c>
      <x:c r="L78" s="188" t="str">
        <x:v>约4,300会话、35万LLM步骤、43万工具调用；报告高但不完美的前缀命中，并揭示人类停顿造成失效</x:v>
      </x:c>
      <x:c r="M78" s="188" t="str">
        <x:v>主要提供轨迹、特征与理论分析；未解决32GB GPU约束下GPU/DRAM/NVMe联合保留决策</x:v>
      </x:c>
      <x:c r="N78" s="202" t="str">
        <x:v>G2 有效复用鸿沟</x:v>
      </x:c>
      <x:c r="O78" s="202" t="str">
        <x:v>高</x:v>
      </x:c>
      <x:c r="P78" s="202" t="str">
        <x:v>高</x:v>
      </x:c>
      <x:c r="Q78" s="203" t="str">
        <x:v>https://arxiv.org/abs/2606.30560</x:v>
      </x:c>
      <x:c r="R78" s="203" t="str">
        <x:v>https://github.com/uw-syfi/TraceLab</x:v>
      </x:c>
    </x:row>
    <x:row r="79" ht="54" customHeight="1">
      <x:c r="A79" s="193" t="str">
        <x:v>S02</x:v>
      </x:c>
      <x:c r="B79" s="193" t="str">
        <x:v>0-4补充检索</x:v>
      </x:c>
      <x:c r="C79" s="193" t="str">
        <x:v>A</x:v>
      </x:c>
      <x:c r="D79" s="201" t="n">
        <x:v>2026</x:v>
      </x:c>
      <x:c r="E79" s="193" t="str">
        <x:v>近期Agent推理与缓存研究</x:v>
      </x:c>
      <x:c r="F79" s="188" t="str">
        <x:v>CacheWise: Understanding Workloads and Optimizing KVCache Management for Efficiently Serving LLM Coding Agents</x:v>
      </x:c>
      <x:c r="G79" s="188" t="str">
        <x:v>Coding Agent前缀感知调度与工具元数据驱动淘汰</x:v>
      </x:c>
      <x:c r="H79" s="188" t="str">
        <x:v>Agent感知调度与淘汰</x:v>
      </x:c>
      <x:c r="I79" s="188" t="str">
        <x:v>真实Claude Code轨迹（CATraces）</x:v>
      </x:c>
      <x:c r="J79" s="188" t="str">
        <x:v>跨轮精确前缀</x:v>
      </x:c>
      <x:c r="K79" s="188" t="str">
        <x:v>GPU为主，含CPU DRAM卸载评估</x:v>
      </x:c>
      <x:c r="L79" s="188" t="str">
        <x:v>在vLLM中实现；缓存逐出降低约2–2.6倍，会话完成时间最高改善约3.5倍</x:v>
      </x:c>
      <x:c r="M79" s="188" t="str">
        <x:v>已占据宽泛的Coding Agent感知调度/淘汰主线；分层存储被视为互补，仍缺受限单机的联合层级决策</x:v>
      </x:c>
      <x:c r="N79" s="202" t="str">
        <x:v>G3 联合层级决策</x:v>
      </x:c>
      <x:c r="O79" s="202" t="str">
        <x:v>高</x:v>
      </x:c>
      <x:c r="P79" s="202" t="str">
        <x:v>高</x:v>
      </x:c>
      <x:c r="Q79" s="203" t="str">
        <x:v>https://arxiv.org/abs/2606.16824</x:v>
      </x:c>
      <x:c r="R79" s="203" t="str">
        <x:v>https://github.com/cachewise-project/cachewise-coding-traces</x:v>
      </x:c>
    </x:row>
    <x:row r="80" ht="54" customHeight="1">
      <x:c r="A80" s="193" t="str">
        <x:v>S03</x:v>
      </x:c>
      <x:c r="B80" s="193" t="str">
        <x:v>0-4补充检索</x:v>
      </x:c>
      <x:c r="C80" s="193" t="str">
        <x:v>A</x:v>
      </x:c>
      <x:c r="D80" s="201" t="n">
        <x:v>2025</x:v>
      </x:c>
      <x:c r="E80" s="193" t="str">
        <x:v>近期Agent推理与缓存研究</x:v>
      </x:c>
      <x:c r="F80" s="188" t="str">
        <x:v>Continuum: Efficient and Robust Multi-Turn LLM Agent Scheduling with KV Cache Time-to-Live</x:v>
      </x:c>
      <x:c r="G80" s="188" t="str">
        <x:v>工具停顿期间TTL保留与Agent级调度基线</x:v>
      </x:c>
      <x:c r="H80" s="188" t="str">
        <x:v>TTL保留与Agent调度</x:v>
      </x:c>
      <x:c r="I80" s="188" t="str">
        <x:v>SWE-Bench、BFCL、OpenHands等多轮Agent</x:v>
      </x:c>
      <x:c r="J80" s="188" t="str">
        <x:v>跨轮精确前缀</x:v>
      </x:c>
      <x:c r="K80" s="188" t="str">
        <x:v>GPU保留，可结合卸载</x:v>
      </x:c>
      <x:c r="L80" s="188" t="str">
        <x:v>综合重载、重计算与排队成本选择TTL；报告平均作业完成时间改善超过8倍</x:v>
      </x:c>
      <x:c r="M80" s="188" t="str">
        <x:v>固定/预测TTL与GPU驻留主线已有强基线；未专门研究消费级单机三层价值密度边界</x:v>
      </x:c>
      <x:c r="N80" s="202" t="str">
        <x:v>G3 联合层级决策</x:v>
      </x:c>
      <x:c r="O80" s="202" t="str">
        <x:v>高</x:v>
      </x:c>
      <x:c r="P80" s="202" t="str">
        <x:v>高</x:v>
      </x:c>
      <x:c r="Q80" s="203" t="str">
        <x:v>https://arxiv.org/abs/2511.02230</x:v>
      </x:c>
      <x:c r="R80" s="203" t="str"/>
    </x:row>
    <x:row r="81" ht="54" customHeight="1">
      <x:c r="A81" s="193" t="str">
        <x:v>S04</x:v>
      </x:c>
      <x:c r="B81" s="193" t="str">
        <x:v>0-4补充检索</x:v>
      </x:c>
      <x:c r="C81" s="193" t="str">
        <x:v>A</x:v>
      </x:c>
      <x:c r="D81" s="201" t="n">
        <x:v>2026</x:v>
      </x:c>
      <x:c r="E81" s="193" t="str">
        <x:v>近期Agent推理与缓存研究</x:v>
      </x:c>
      <x:c r="F81" s="188" t="str">
        <x:v>ThunderAgent: A Simple, Fast and Program-Aware Agentic Inference System</x:v>
      </x:c>
      <x:c r="G81" s="188" t="str">
        <x:v>程序感知的端到端Agent推理与工具资源调度</x:v>
      </x:c>
      <x:c r="H81" s="188" t="str">
        <x:v>程序感知联合调度</x:v>
      </x:c>
      <x:c r="I81" s="188" t="str">
        <x:v>编码、路由、科学发现Agent</x:v>
      </x:c>
      <x:c r="J81" s="188" t="str">
        <x:v>跨轮精确前缀与程序状态</x:v>
      </x:c>
      <x:c r="K81" s="188" t="str">
        <x:v>集群GPU/主机资源，分析卸载开销</x:v>
      </x:c>
      <x:c r="L81" s="188" t="str">
        <x:v>跨Agent场景报告1.5–3.6倍服务吞吐改善，并开源系统实现</x:v>
      </x:c>
      <x:c r="M81" s="188" t="str">
        <x:v>程序感知调度主线已被覆盖；评估偏多GPU/集群，消费级单机约束仍不同</x:v>
      </x:c>
      <x:c r="N81" s="202" t="str">
        <x:v>G2 有效复用鸿沟</x:v>
      </x:c>
      <x:c r="O81" s="202" t="str">
        <x:v>高</x:v>
      </x:c>
      <x:c r="P81" s="202" t="str">
        <x:v>高</x:v>
      </x:c>
      <x:c r="Q81" s="203" t="str">
        <x:v>https://arxiv.org/abs/2602.13692</x:v>
      </x:c>
      <x:c r="R81" s="203" t="str">
        <x:v>https://github.com/ThunderAgent-org/ThunderAgent</x:v>
      </x:c>
    </x:row>
    <x:row r="82" ht="54" customHeight="1">
      <x:c r="A82" s="193" t="str">
        <x:v>S05</x:v>
      </x:c>
      <x:c r="B82" s="193" t="str">
        <x:v>0-4补充检索</x:v>
      </x:c>
      <x:c r="C82" s="193" t="str">
        <x:v>A</x:v>
      </x:c>
      <x:c r="D82" s="201" t="n">
        <x:v>2026</x:v>
      </x:c>
      <x:c r="E82" s="193" t="str">
        <x:v>近期Agent推理与缓存研究</x:v>
      </x:c>
      <x:c r="F82" s="188" t="str">
        <x:v>Pythia: Exploiting Workflow Predictability for Efficient Agent-Native LLM Serving</x:v>
      </x:c>
      <x:c r="G82" s="188" t="str">
        <x:v>多Agent工作流语义驱动的缓存、调度与扩缩容</x:v>
      </x:c>
      <x:c r="H82" s="188" t="str">
        <x:v>工作流感知Agent推理</x:v>
      </x:c>
      <x:c r="I82" s="188" t="str">
        <x:v>生产Agent平台与内部多Agent编码助手</x:v>
      </x:c>
      <x:c r="J82" s="188" t="str">
        <x:v>跨Agent/跨节点工作流前缀</x:v>
      </x:c>
      <x:c r="K82" s="188" t="str">
        <x:v>多实例服务层</x:v>
      </x:c>
      <x:c r="L82" s="188" t="str">
        <x:v>揭示多Agent专用Prompt导致低命中与资源争用，并利用工作流可预测性优化</x:v>
      </x:c>
      <x:c r="M82" s="188" t="str">
        <x:v>说明单Agent追加型轨迹不能代表多Agent；本项目应先限定单Agent/单机边界</x:v>
      </x:c>
      <x:c r="N82" s="202" t="str">
        <x:v>G8 适用边界</x:v>
      </x:c>
      <x:c r="O82" s="202" t="str">
        <x:v>高</x:v>
      </x:c>
      <x:c r="P82" s="202" t="str">
        <x:v>高</x:v>
      </x:c>
      <x:c r="Q82" s="203" t="str">
        <x:v>https://arxiv.org/abs/2604.25899</x:v>
      </x:c>
      <x:c r="R82" s="203" t="str"/>
    </x:row>
    <x:row r="83" ht="54" customHeight="1">
      <x:c r="A83" s="193" t="str">
        <x:v>S06</x:v>
      </x:c>
      <x:c r="B83" s="193" t="str">
        <x:v>0-4补充检索</x:v>
      </x:c>
      <x:c r="C83" s="193" t="str">
        <x:v>A</x:v>
      </x:c>
      <x:c r="D83" s="201" t="n">
        <x:v>2026</x:v>
      </x:c>
      <x:c r="E83" s="193" t="str">
        <x:v>近期Agent推理与缓存研究</x:v>
      </x:c>
      <x:c r="F83" s="188" t="str">
        <x:v>Agentic AI Workload Characteristics</x:v>
      </x:c>
      <x:c r="G83" s="188" t="str">
        <x:v>跨基准Agent工作负载的端到端特征与理想缓存分析</x:v>
      </x:c>
      <x:c r="H83" s="188" t="str">
        <x:v>Agent工作负载刻画</x:v>
      </x:c>
      <x:c r="I83" s="188" t="str">
        <x:v>五类Agent基准、Gemma与Qwen配置</x:v>
      </x:c>
      <x:c r="J83" s="188" t="str">
        <x:v>多轮精确前缀</x:v>
      </x:c>
      <x:c r="K83" s="188" t="str">
        <x:v>理想/无抖动缓存条件为主</x:v>
      </x:c>
      <x:c r="L83" s="188" t="str">
        <x:v>表明有效上下文缓存后多数输入Token可复用，执行转为Decode主导并依赖长寿命状态</x:v>
      </x:c>
      <x:c r="M83" s="188" t="str">
        <x:v>理想缓存结果不能直接外推到32GB显存和真实并发；正好支持测量理想到有效复用差距</x:v>
      </x:c>
      <x:c r="N83" s="202" t="str">
        <x:v>G2 有效复用鸿沟</x:v>
      </x:c>
      <x:c r="O83" s="202" t="str">
        <x:v>高</x:v>
      </x:c>
      <x:c r="P83" s="202" t="str">
        <x:v>高</x:v>
      </x:c>
      <x:c r="Q83" s="203" t="str">
        <x:v>https://arxiv.org/abs/2605.26297</x:v>
      </x:c>
      <x:c r="R83" s="203" t="str"/>
    </x:row>
    <x:row r="84" ht="54" customHeight="1">
      <x:c r="A84" s="193" t="str">
        <x:v>S07</x:v>
      </x:c>
      <x:c r="B84" s="193" t="str">
        <x:v>0-4补充检索</x:v>
      </x:c>
      <x:c r="C84" s="193" t="str">
        <x:v>A</x:v>
      </x:c>
      <x:c r="D84" s="201" t="n">
        <x:v>2026</x:v>
      </x:c>
      <x:c r="E84" s="193" t="str">
        <x:v>近期Agent推理与缓存研究</x:v>
      </x:c>
      <x:c r="F84" s="188" t="str">
        <x:v>CONCUR: High-Throughput Agentic Batch Inference of LLM via Congestion-Based Concurrency Control</x:v>
      </x:c>
      <x:c r="G84" s="188" t="str">
        <x:v>Agent级准入控制与中阶段缓存抖动</x:v>
      </x:c>
      <x:c r="H84" s="188" t="str">
        <x:v>并发准入与抖动控制</x:v>
      </x:c>
      <x:c r="I84" s="188" t="str">
        <x:v>大模型Agent批推理</x:v>
      </x:c>
      <x:c r="J84" s="188" t="str">
        <x:v>Agent级持续上下文</x:v>
      </x:c>
      <x:c r="K84" s="188" t="str">
        <x:v>GPU缓存压力控制</x:v>
      </x:c>
      <x:c r="L84" s="188" t="str">
        <x:v>识别middle-phase thrashing；Qwen3-32B最高4.09倍、DeepSeek-V3最高1.9倍吞吐改善</x:v>
      </x:c>
      <x:c r="M84" s="188" t="str">
        <x:v>并发控制已形成独立方向；本项目应把并发作为压力维度而非主要创新点</x:v>
      </x:c>
      <x:c r="N84" s="202" t="str">
        <x:v>G2 有效复用鸿沟</x:v>
      </x:c>
      <x:c r="O84" s="202" t="str">
        <x:v>高</x:v>
      </x:c>
      <x:c r="P84" s="202" t="str">
        <x:v>高</x:v>
      </x:c>
      <x:c r="Q84" s="203" t="str">
        <x:v>https://arxiv.org/abs/2601.22705</x:v>
      </x:c>
      <x:c r="R84" s="203" t="str"/>
    </x:row>
    <x:row r="85" ht="54" customHeight="1">
      <x:c r="A85" s="193" t="str">
        <x:v>S08</x:v>
      </x:c>
      <x:c r="B85" s="193" t="str">
        <x:v>0-4补充检索</x:v>
      </x:c>
      <x:c r="C85" s="193" t="str">
        <x:v>B</x:v>
      </x:c>
      <x:c r="D85" s="201" t="n">
        <x:v>2026</x:v>
      </x:c>
      <x:c r="E85" s="193" t="str">
        <x:v>近期Agent推理与缓存研究</x:v>
      </x:c>
      <x:c r="F85" s="188" t="str">
        <x:v>KAIROS: Stateful, Context-Aware Power-Efficient Agentic Inference Serving</x:v>
      </x:c>
      <x:c r="G85" s="188" t="str">
        <x:v>上下文感知功耗、并发与路由联合控制</x:v>
      </x:c>
      <x:c r="H85" s="188" t="str">
        <x:v>功耗感知Agent推理</x:v>
      </x:c>
      <x:c r="I85" s="188" t="str">
        <x:v>软件与数据工程Agent任务</x:v>
      </x:c>
      <x:c r="J85" s="188" t="str">
        <x:v>Agent级长寿命上下文</x:v>
      </x:c>
      <x:c r="K85" s="188" t="str">
        <x:v>GPU频率/并发/多实例</x:v>
      </x:c>
      <x:c r="L85" s="188" t="str">
        <x:v>在满足性能目标时平均降低27%功耗，并避免内存抖动</x:v>
      </x:c>
      <x:c r="M85" s="188" t="str">
        <x:v>功耗不是本阶段核心；但应记录RTX 5090能耗作为次级成本指标</x:v>
      </x:c>
      <x:c r="N85" s="202" t="str">
        <x:v>G4 成功任务成本</x:v>
      </x:c>
      <x:c r="O85" s="202" t="str">
        <x:v>中</x:v>
      </x:c>
      <x:c r="P85" s="202" t="str">
        <x:v>高</x:v>
      </x:c>
      <x:c r="Q85" s="203" t="str">
        <x:v>https://arxiv.org/abs/2604.16682</x:v>
      </x:c>
      <x:c r="R85" s="203" t="str"/>
    </x:row>
    <x:row r="86" ht="54" customHeight="1">
      <x:c r="A86" s="193" t="str">
        <x:v>S09</x:v>
      </x:c>
      <x:c r="B86" s="193" t="str">
        <x:v>0-4补充检索</x:v>
      </x:c>
      <x:c r="C86" s="193" t="str">
        <x:v>A</x:v>
      </x:c>
      <x:c r="D86" s="201" t="n">
        <x:v>2026</x:v>
      </x:c>
      <x:c r="E86" s="193" t="str">
        <x:v>成本指标与缓存经济性</x:v>
      </x:c>
      <x:c r="F86" s="188" t="str">
        <x:v>Token Reduction Is Not Cost Reduction</x:v>
      </x:c>
      <x:c r="G86" s="188" t="str">
        <x:v>证明Token减少不等于端到端成本减少</x:v>
      </x:c>
      <x:c r="H86" s="188" t="str">
        <x:v>成功任务成本评测</x:v>
      </x:c>
      <x:c r="I86" s="188" t="str">
        <x:v>Claude Code受控编码任务</x:v>
      </x:c>
      <x:c r="J86" s="188" t="str">
        <x:v>Provider Prompt Cache与Agent轨迹</x:v>
      </x:c>
      <x:c r="K86" s="188" t="str">
        <x:v>API缓存计费层</x:v>
      </x:c>
      <x:c r="L86" s="188" t="str">
        <x:v>工具输出Token减少38.4%时，账单成本反增6.8%；建议使用每个成功任务的成本</x:v>
      </x:c>
      <x:c r="M86" s="188" t="str">
        <x:v>面向API账单而非本地KV层级；但直接改变本项目终局指标设计</x:v>
      </x:c>
      <x:c r="N86" s="202" t="str">
        <x:v>G4 成功任务成本</x:v>
      </x:c>
      <x:c r="O86" s="202" t="str">
        <x:v>高</x:v>
      </x:c>
      <x:c r="P86" s="202" t="str">
        <x:v>高</x:v>
      </x:c>
      <x:c r="Q86" s="203" t="str">
        <x:v>https://arxiv.org/abs/2607.12161</x:v>
      </x:c>
      <x:c r="R86" s="203" t="str"/>
    </x:row>
    <x:row r="87" ht="54" customHeight="1">
      <x:c r="A87" s="193" t="str">
        <x:v>S10</x:v>
      </x:c>
      <x:c r="B87" s="193" t="str">
        <x:v>0-4补充检索</x:v>
      </x:c>
      <x:c r="C87" s="193" t="str">
        <x:v>A</x:v>
      </x:c>
      <x:c r="D87" s="201" t="n">
        <x:v>2026</x:v>
      </x:c>
      <x:c r="E87" s="193" t="str">
        <x:v>成本指标与缓存经济性</x:v>
      </x:c>
      <x:c r="F87" s="188" t="str">
        <x:v>Prompt-Induced Waste in Coding Agents: Reasoning, Effort, Harness Design, and End-to-End Cost</x:v>
      </x:c>
      <x:c r="G87" s="188" t="str">
        <x:v>提示语义、推理强度与Harness对成本/成功率的交互影响</x:v>
      </x:c>
      <x:c r="H87" s="188" t="str">
        <x:v>成功任务成本评测</x:v>
      </x:c>
      <x:c r="I87" s="188" t="str">
        <x:v>受控Coding Agent实验</x:v>
      </x:c>
      <x:c r="J87" s="188" t="str">
        <x:v>Agent轨迹和缓存计数</x:v>
      </x:c>
      <x:c r="K87" s="188" t="str">
        <x:v>端到端系统/Provider层</x:v>
      </x:c>
      <x:c r="L87" s="188" t="str">
        <x:v>指出Token与Cache计数只是轨迹测量，需控制Prompt、Harness与推理强度并报告成功率</x:v>
      </x:c>
      <x:c r="M87" s="188" t="str">
        <x:v>非KV系统机制；但要求实验固定Prompt/Harness并报告任务正确性</x:v>
      </x:c>
      <x:c r="N87" s="202" t="str">
        <x:v>G4 成功任务成本</x:v>
      </x:c>
      <x:c r="O87" s="202" t="str">
        <x:v>高</x:v>
      </x:c>
      <x:c r="P87" s="202" t="str">
        <x:v>高</x:v>
      </x:c>
      <x:c r="Q87" s="203" t="str">
        <x:v>https://arxiv.org/abs/2608.01347</x:v>
      </x:c>
      <x:c r="R87" s="203" t="str"/>
    </x:row>
    <x:row r="88" ht="54" customHeight="1">
      <x:c r="A88" s="193" t="str">
        <x:v>S11</x:v>
      </x:c>
      <x:c r="B88" s="193" t="str">
        <x:v>0-4补充检索</x:v>
      </x:c>
      <x:c r="C88" s="193" t="str">
        <x:v>B</x:v>
      </x:c>
      <x:c r="D88" s="201" t="n">
        <x:v>2026</x:v>
      </x:c>
      <x:c r="E88" s="193" t="str">
        <x:v>近期Agent推理与缓存研究</x:v>
      </x:c>
      <x:c r="F88" s="188" t="str">
        <x:v>Workload-Aware Caching for Multi-Agent Systems</x:v>
      </x:c>
      <x:c r="G88" s="188" t="str">
        <x:v>DAG中间结果的重计算成本与依赖感知价值评分</x:v>
      </x:c>
      <x:c r="H88" s="188" t="str">
        <x:v>多Agent中间结果缓存</x:v>
      </x:c>
      <x:c r="I88" s="188" t="str">
        <x:v>三类多Agent基准</x:v>
      </x:c>
      <x:c r="J88" s="188" t="str">
        <x:v>DAG中间结果，不是KV张量</x:v>
      </x:c>
      <x:c r="K88" s="188" t="str">
        <x:v>有限容量内容缓存</x:v>
      </x:c>
      <x:c r="L88" s="188" t="str">
        <x:v>价值函数结合重计算成本、依赖数和调用频率；相对无缓存最高降延迟64.7%</x:v>
      </x:c>
      <x:c r="M88" s="188" t="str">
        <x:v>缓存对象不是KV；说明“价值感知缓存”概念已有，需要在KV层明确不同决策变量与正确性</x:v>
      </x:c>
      <x:c r="N88" s="202" t="str">
        <x:v>G3 联合层级决策</x:v>
      </x:c>
      <x:c r="O88" s="202" t="str">
        <x:v>中</x:v>
      </x:c>
      <x:c r="P88" s="202" t="str">
        <x:v>中高</x:v>
      </x:c>
      <x:c r="Q88" s="203" t="str">
        <x:v>https://arxiv.org/abs/2607.20495</x:v>
      </x:c>
      <x:c r="R88" s="203" t="str"/>
    </x:row>
    <x:row r="89" ht="54" customHeight="1">
      <x:c r="A89" s="193" t="str">
        <x:v>S12</x:v>
      </x:c>
      <x:c r="B89" s="193" t="str">
        <x:v>0-4补充检索</x:v>
      </x:c>
      <x:c r="C89" s="193" t="str">
        <x:v>A</x:v>
      </x:c>
      <x:c r="D89" s="201" t="n">
        <x:v>2026</x:v>
      </x:c>
      <x:c r="E89" s="193" t="str">
        <x:v>Agent推理评测与重放</x:v>
      </x:c>
      <x:c r="F89" s="188" t="str">
        <x:v>Benchmarking LLM Serving Systems for Agentic AI Workloads with XPerf</x:v>
      </x:c>
      <x:c r="G89" s="188" t="str">
        <x:v>Agent工作负载Trace采集、合成与可复现重放框架</x:v>
      </x:c>
      <x:c r="H89" s="188" t="str">
        <x:v>Trace重放与系统评测</x:v>
      </x:c>
      <x:c r="I89" s="188" t="str">
        <x:v>八类Agent应用，含Coding</x:v>
      </x:c>
      <x:c r="J89" s="188" t="str">
        <x:v>精确Token与输出轨迹重放</x:v>
      </x:c>
      <x:c r="K89" s="188" t="str">
        <x:v>系统与硬件剖析</x:v>
      </x:c>
      <x:c r="L89" s="188" t="str">
        <x:v>提供细粒度轨迹重放和硬件/系统指标，用于比较不同推理系统</x:v>
      </x:c>
      <x:c r="M89" s="188" t="str">
        <x:v>Trace Replay本身不足以作为创新；本项目应复用/对比而非重新声称首创</x:v>
      </x:c>
      <x:c r="N89" s="202" t="str">
        <x:v>G8 适用边界</x:v>
      </x:c>
      <x:c r="O89" s="202" t="str">
        <x:v>高</x:v>
      </x:c>
      <x:c r="P89" s="202" t="str">
        <x:v>中高</x:v>
      </x:c>
      <x:c r="Q89" s="203" t="str">
        <x:v>https://arxiv.org/abs/2608.20370</x:v>
      </x:c>
      <x:c r="R89" s="203" t="str"/>
    </x:row>
    <x:row r="90" ht="54" customHeight="1">
      <x:c r="A90" s="193" t="str">
        <x:v>S13</x:v>
      </x:c>
      <x:c r="B90" s="193" t="str">
        <x:v>0-4补充检索</x:v>
      </x:c>
      <x:c r="C90" s="193" t="str">
        <x:v>A</x:v>
      </x:c>
      <x:c r="D90" s="201" t="n">
        <x:v>2026</x:v>
      </x:c>
      <x:c r="E90" s="193" t="str">
        <x:v>近期Agent推理与缓存研究</x:v>
      </x:c>
      <x:c r="F90" s="188" t="str">
        <x:v>Not All Tokens Are Worth Caching: Learning Semantic-Aware Eviction for LLM Prefix Caches</x:v>
      </x:c>
      <x:c r="G90" s="188" t="str">
        <x:v>Token语义类型驱动的自适应多队列前缀淘汰</x:v>
      </x:c>
      <x:c r="H90" s="188" t="str">
        <x:v>语义感知前缀淘汰</x:v>
      </x:c>
      <x:c r="I90" s="188" t="str">
        <x:v>异构多轮与模板化请求</x:v>
      </x:c>
      <x:c r="J90" s="188" t="str">
        <x:v>精确前缀块</x:v>
      </x:c>
      <x:c r="K90" s="188" t="str">
        <x:v>GPU前缀缓存</x:v>
      </x:c>
      <x:c r="L90" s="188" t="str">
        <x:v>不同Token类型复用率差异最高756倍；TTFT相对生产式基线改善1.4–2.7倍</x:v>
      </x:c>
      <x:c r="M90" s="188" t="str">
        <x:v>“语义/Token类型感知淘汰”已拥挤；本项目不应把语义评分单独作为创新</x:v>
      </x:c>
      <x:c r="N90" s="202" t="str">
        <x:v>G5 Prompt与语义布局</x:v>
      </x:c>
      <x:c r="O90" s="202" t="str">
        <x:v>高</x:v>
      </x:c>
      <x:c r="P90" s="202" t="str">
        <x:v>高</x:v>
      </x:c>
      <x:c r="Q90" s="203" t="str">
        <x:v>https://arxiv.org/abs/2605.18825</x:v>
      </x:c>
      <x:c r="R90" s="203" t="str"/>
    </x:row>
    <x:row r="91" ht="54" customHeight="1">
      <x:c r="A91" s="193" t="str">
        <x:v>S14</x:v>
      </x:c>
      <x:c r="B91" s="193" t="str">
        <x:v>0-4补充检索</x:v>
      </x:c>
      <x:c r="C91" s="193" t="str">
        <x:v>B</x:v>
      </x:c>
      <x:c r="D91" s="201" t="n">
        <x:v>2026</x:v>
      </x:c>
      <x:c r="E91" s="193" t="str">
        <x:v>成本指标与缓存经济性</x:v>
      </x:c>
      <x:c r="F91" s="188" t="str">
        <x:v>Keeping the Cache Warm Pays: Keepalive Economics for Agentic Workloads</x:v>
      </x:c>
      <x:c r="G91" s="188" t="str">
        <x:v>Provider API缓存TTL与客户端Keepalive经济性</x:v>
      </x:c>
      <x:c r="H91" s="188" t="str">
        <x:v>Provider缓存Keepalive</x:v>
      </x:c>
      <x:c r="I91" s="188" t="str">
        <x:v>多Provider Agent暂停/恢复请求</x:v>
      </x:c>
      <x:c r="J91" s="188" t="str">
        <x:v>Provider端精确前缀</x:v>
      </x:c>
      <x:c r="K91" s="188" t="str">
        <x:v>API供应商缓存层</x:v>
      </x:c>
      <x:c r="L91" s="188" t="str">
        <x:v>分析Keepalive间隔、TTL和重算成本的盈亏边界，并报告暂停后请求成本下降</x:v>
      </x:c>
      <x:c r="M91" s="188" t="str">
        <x:v>适用于封闭API，不能替代本地GPU/DRAM/NVMe管理；可作为经济学对照</x:v>
      </x:c>
      <x:c r="N91" s="202" t="str">
        <x:v>G4 成功任务成本</x:v>
      </x:c>
      <x:c r="O91" s="202" t="str">
        <x:v>中</x:v>
      </x:c>
      <x:c r="P91" s="202" t="str">
        <x:v>中高</x:v>
      </x:c>
      <x:c r="Q91" s="203" t="str">
        <x:v>https://arxiv.org/abs/2607.19214</x:v>
      </x:c>
      <x:c r="R91" s="203" t="str"/>
    </x:row>
    <x:row r="92" ht="54" customHeight="1">
      <x:c r="A92" s="193" t="str">
        <x:v>S15</x:v>
      </x:c>
      <x:c r="B92" s="193" t="str">
        <x:v>0-4补充检索</x:v>
      </x:c>
      <x:c r="C92" s="193" t="str">
        <x:v>B</x:v>
      </x:c>
      <x:c r="D92" s="201" t="n">
        <x:v>2026</x:v>
      </x:c>
      <x:c r="E92" s="193" t="str">
        <x:v>分层存储与解耦推理</x:v>
      </x:c>
      <x:c r="F92" s="188" t="str">
        <x:v>HyMCache: A KV Cache Framework for Multi-Turn LLM Serving with CXL-Hybrid Memory</x:v>
      </x:c>
      <x:c r="G92" s="188" t="str">
        <x:v>CXL混合内存与SSD支撑的多轮KV复用</x:v>
      </x:c>
      <x:c r="H92" s="188" t="str">
        <x:v>CXL/SSD分层KV缓存</x:v>
      </x:c>
      <x:c r="I92" s="188" t="str">
        <x:v>长上下文、多轮与Agent请求</x:v>
      </x:c>
      <x:c r="J92" s="188" t="str">
        <x:v>跨轮精确前缀</x:v>
      </x:c>
      <x:c r="K92" s="188" t="str">
        <x:v>CXL设备DRAM＋SSD</x:v>
      </x:c>
      <x:c r="L92" s="188" t="str">
        <x:v>真实CXL-HM原型；相同DRAM预算下单节点相对LMCache报告3.0倍改善</x:v>
      </x:c>
      <x:c r="M92" s="188" t="str">
        <x:v>需要CXL专用硬件，不适用于当前RTX 5090主机；进一步压缩通用分层存储的创新空间</x:v>
      </x:c>
      <x:c r="N92" s="202" t="str">
        <x:v>G3 联合层级决策</x:v>
      </x:c>
      <x:c r="O92" s="202" t="str">
        <x:v>中</x:v>
      </x:c>
      <x:c r="P92" s="202" t="str">
        <x:v>高</x:v>
      </x:c>
      <x:c r="Q92" s="203" t="str">
        <x:v>https://arxiv.org/abs/2607.18141</x:v>
      </x:c>
      <x:c r="R92" s="203" t="str"/>
    </x:row>
  </x:sheetData>
  <x:conditionalFormatting sqref="O2:O92">
    <x:cfRule type="containsText" dxfId="0" priority="1" operator="containsText" text="高"/>
  </x:conditionalFormatting>
  <x:pageMargins left="0.7" right="0.7" top="0.75" bottom="0.75" header="0.3" footer="0.3"/>
  <x:tableParts count="1">
    <x:tablePart xmlns:r="http://schemas.openxmlformats.org/officeDocument/2006/relationships" r:id="Rce98e2d593954f9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34" hidden="0" customWidth="1"/>
    <x:col min="3" max="3" width="52" hidden="0" customWidth="1"/>
    <x:col min="4" max="4" width="11" hidden="0" customWidth="1"/>
    <x:col min="5" max="5" width="11" hidden="0" customWidth="1"/>
    <x:col min="6" max="6" width="11" hidden="0" customWidth="1"/>
    <x:col min="7" max="7" width="10" hidden="0" customWidth="1"/>
    <x:col min="8" max="8" width="34" hidden="0" customWidth="1"/>
  </x:cols>
  <x:sheetData>
    <x:row r="1" ht="34" customHeight="1">
      <x:c r="A1" s="155" t="str">
        <x:v>研究空白评审</x:v>
      </x:c>
      <x:c r="B1" s="155" t="str">
        <x:v>研究空白评审</x:v>
      </x:c>
      <x:c r="C1" s="155" t="str">
        <x:v>研究空白评审</x:v>
      </x:c>
      <x:c r="D1" s="155" t="str">
        <x:v>研究空白评审</x:v>
      </x:c>
      <x:c r="E1" s="155" t="str">
        <x:v>研究空白评审</x:v>
      </x:c>
      <x:c r="F1" s="155" t="str">
        <x:v>研究空白评审</x:v>
      </x:c>
      <x:c r="G1" s="155" t="str">
        <x:v>研究空白评审</x:v>
      </x:c>
      <x:c r="H1" s="155" t="str">
        <x:v>研究空白评审</x:v>
      </x:c>
    </x:row>
    <x:row r="2" ht="30" customHeight="1">
      <x:c r="A2" s="204" t="str">
        <x:v>评分为1（低）至5（高）；风险为实现/正确性风险。决策列是0-4阶段的收敛结论。</x:v>
      </x:c>
      <x:c r="B2" s="204" t="str">
        <x:v>评分为1（低）至5（高）；风险为实现/正确性风险。决策列是0-4阶段的收敛结论。</x:v>
      </x:c>
      <x:c r="C2" s="204" t="str">
        <x:v>评分为1（低）至5（高）；风险为实现/正确性风险。决策列是0-4阶段的收敛结论。</x:v>
      </x:c>
      <x:c r="D2" s="204" t="str">
        <x:v>评分为1（低）至5（高）；风险为实现/正确性风险。决策列是0-4阶段的收敛结论。</x:v>
      </x:c>
      <x:c r="E2" s="204" t="str">
        <x:v>评分为1（低）至5（高）；风险为实现/正确性风险。决策列是0-4阶段的收敛结论。</x:v>
      </x:c>
      <x:c r="F2" s="204" t="str">
        <x:v>评分为1（低）至5（高）；风险为实现/正确性风险。决策列是0-4阶段的收敛结论。</x:v>
      </x:c>
      <x:c r="G2" s="204" t="str">
        <x:v>评分为1（低）至5（高）；风险为实现/正确性风险。决策列是0-4阶段的收敛结论。</x:v>
      </x:c>
      <x:c r="H2" s="204" t="str">
        <x:v>评分为1（低）至5（高）；风险为实现/正确性风险。决策列是0-4阶段的收敛结论。</x:v>
      </x:c>
    </x:row>
    <x:row r="3">
      <x:c r="A3" s="157"/>
      <x:c r="B3" s="157"/>
      <x:c r="C3" s="157"/>
      <x:c r="D3" s="157"/>
      <x:c r="E3" s="157"/>
      <x:c r="F3" s="157"/>
      <x:c r="G3" s="157"/>
      <x:c r="H3" s="157"/>
    </x:row>
    <x:row r="4" ht="30" customHeight="1">
      <x:c r="A4" s="184" t="str">
        <x:v>编号</x:v>
      </x:c>
      <x:c r="B4" s="197" t="str">
        <x:v>研究空白</x:v>
      </x:c>
      <x:c r="C4" s="197" t="str">
        <x:v>关键证据</x:v>
      </x:c>
      <x:c r="D4" s="197" t="str">
        <x:v>新颖性</x:v>
      </x:c>
      <x:c r="E4" s="197" t="str">
        <x:v>必要性</x:v>
      </x:c>
      <x:c r="F4" s="197" t="str">
        <x:v>可行性</x:v>
      </x:c>
      <x:c r="G4" s="197" t="str">
        <x:v>风险</x:v>
      </x:c>
      <x:c r="H4" s="185" t="str">
        <x:v>0-4决策</x:v>
      </x:c>
    </x:row>
    <x:row r="5" ht="58" customHeight="1">
      <x:c r="A5" s="186" t="str">
        <x:v>G1</x:v>
      </x:c>
      <x:c r="B5" s="186" t="str">
        <x:v>原始Token命中率不再足以构成主要贡献</x:v>
      </x:c>
      <x:c r="C5" s="186" t="str">
        <x:v>TraceLab与多项Agent工作负载研究已展示很高的理论/理想前缀复用；继续追求单一95%指标缺乏新颖性。</x:v>
      </x:c>
      <x:c r="D5" s="205" t="n">
        <x:v>1</x:v>
      </x:c>
      <x:c r="E5" s="205" t="n">
        <x:v>5</x:v>
      </x:c>
      <x:c r="F5" s="205" t="n">
        <x:v>5</x:v>
      </x:c>
      <x:c r="G5" s="199" t="str">
        <x:v>低</x:v>
      </x:c>
      <x:c r="H5" s="186" t="str">
        <x:v>降为描述性指标；不能作为论文主张</x:v>
      </x:c>
    </x:row>
    <x:row r="6" ht="58" customHeight="1">
      <x:c r="A6" s="188" t="str">
        <x:v>G2</x:v>
      </x:c>
      <x:c r="B6" s="188" t="str">
        <x:v>理想命中与真实有效复用之间的鸿沟</x:v>
      </x:c>
      <x:c r="C6" s="188" t="str">
        <x:v>暂停、人类思考、工具长尾、并发和显存抖动会使可复用前缀被逐出；命中后传输也可能慢于重算。</x:v>
      </x:c>
      <x:c r="D6" s="206" t="n">
        <x:v>4</x:v>
      </x:c>
      <x:c r="E6" s="206" t="n">
        <x:v>5</x:v>
      </x:c>
      <x:c r="F6" s="206" t="n">
        <x:v>5</x:v>
      </x:c>
      <x:c r="G6" s="202" t="str">
        <x:v>中</x:v>
      </x:c>
      <x:c r="H6" s="188" t="str">
        <x:v>纳入核心研究问题RQ1/RQ2</x:v>
      </x:c>
    </x:row>
    <x:row r="7" ht="58" customHeight="1">
      <x:c r="A7" s="188" t="str">
        <x:v>G3</x:v>
      </x:c>
      <x:c r="B7" s="188" t="str">
        <x:v>受限单机上GPU/DRAM/NVMe/重算的联合决策</x:v>
      </x:c>
      <x:c r="C7" s="188" t="str">
        <x:v>现有工作多聚焦集群、固定TTL、GPU淘汰或专用CXL；对消费级32GB GPU与64GB DRAM的联合边界缺乏直接证据。</x:v>
      </x:c>
      <x:c r="D7" s="206" t="n">
        <x:v>4</x:v>
      </x:c>
      <x:c r="E7" s="206" t="n">
        <x:v>5</x:v>
      </x:c>
      <x:c r="F7" s="206" t="n">
        <x:v>4</x:v>
      </x:c>
      <x:c r="G7" s="202" t="str">
        <x:v>中</x:v>
      </x:c>
      <x:c r="H7" s="188" t="str">
        <x:v>推荐主线；以价值密度和交叉成本为核心</x:v>
      </x:c>
    </x:row>
    <x:row r="8" ht="58" customHeight="1">
      <x:c r="A8" s="188" t="str">
        <x:v>G4</x:v>
      </x:c>
      <x:c r="B8" s="188" t="str">
        <x:v>从缓存指标到每个成功任务成本的端到端闭环</x:v>
      </x:c>
      <x:c r="C8" s="188" t="str">
        <x:v>近期研究表明Token减少、Cache计数和账单成本可能背离，Prompt/Harness也会改变轨迹和成功率。</x:v>
      </x:c>
      <x:c r="D8" s="206" t="n">
        <x:v>4</x:v>
      </x:c>
      <x:c r="E8" s="206" t="n">
        <x:v>5</x:v>
      </x:c>
      <x:c r="F8" s="206" t="n">
        <x:v>4</x:v>
      </x:c>
      <x:c r="G8" s="202" t="str">
        <x:v>中</x:v>
      </x:c>
      <x:c r="H8" s="188" t="str">
        <x:v>作为评价贡献和终局验收指标</x:v>
      </x:c>
    </x:row>
    <x:row r="9" ht="58" customHeight="1">
      <x:c r="A9" s="188" t="str">
        <x:v>G5</x:v>
      </x:c>
      <x:c r="B9" s="188" t="str">
        <x:v>Prompt规范化、布局与Token语义价值</x:v>
      </x:c>
      <x:c r="C9" s="188" t="str">
        <x:v>SAECache、Pythia及既有Prompt Cache类研究已覆盖语义/结构信号，但对Code Agent上下文布局仍可做消融。</x:v>
      </x:c>
      <x:c r="D9" s="206" t="n">
        <x:v>2</x:v>
      </x:c>
      <x:c r="E9" s="206" t="n">
        <x:v>3</x:v>
      </x:c>
      <x:c r="F9" s="206" t="n">
        <x:v>5</x:v>
      </x:c>
      <x:c r="G9" s="202" t="str">
        <x:v>低</x:v>
      </x:c>
      <x:c r="H9" s="188" t="str">
        <x:v>仅作为辅助策略和消融，不作主创新</x:v>
      </x:c>
    </x:row>
    <x:row r="10" ht="58" customHeight="1">
      <x:c r="A10" s="188" t="str">
        <x:v>G6</x:v>
      </x:c>
      <x:c r="B10" s="188" t="str">
        <x:v>代码局部变化后的仓库来源/依赖感知非前缀安全复用</x:v>
      </x:c>
      <x:c r="C10" s="188" t="str">
        <x:v>位置无关缓存已有CacheBlend、EPIC、Irminsul等，同时存在正确性与安全攻击风险；Code provenance可能提供新约束。</x:v>
      </x:c>
      <x:c r="D10" s="206" t="n">
        <x:v>5</x:v>
      </x:c>
      <x:c r="E10" s="206" t="n">
        <x:v>4</x:v>
      </x:c>
      <x:c r="F10" s="206" t="n">
        <x:v>2</x:v>
      </x:c>
      <x:c r="G10" s="202" t="str">
        <x:v>高</x:v>
      </x:c>
      <x:c r="H10" s="188" t="str">
        <x:v>高风险拓展项；不进入首期核心承诺</x:v>
      </x:c>
    </x:row>
    <x:row r="11" ht="58" customHeight="1">
      <x:c r="A11" s="188" t="str">
        <x:v>G7</x:v>
      </x:c>
      <x:c r="B11" s="188" t="str">
        <x:v>多租户隔离、模型版本与缓存键安全边界</x:v>
      </x:c>
      <x:c r="C11" s="188" t="str">
        <x:v>Prompt缓存侧信道、KV反演和位置无关缓存劫持已有公开攻击；跨租户共享必须保守。</x:v>
      </x:c>
      <x:c r="D11" s="206" t="n">
        <x:v>2</x:v>
      </x:c>
      <x:c r="E11" s="206" t="n">
        <x:v>5</x:v>
      </x:c>
      <x:c r="F11" s="206" t="n">
        <x:v>4</x:v>
      </x:c>
      <x:c r="G11" s="202" t="str">
        <x:v>高</x:v>
      </x:c>
      <x:c r="H11" s="188" t="str">
        <x:v>作为强制边界与负面测试，不作为主要性能创新</x:v>
      </x:c>
    </x:row>
    <x:row r="12" ht="58" customHeight="1">
      <x:c r="A12" s="188" t="str">
        <x:v>G8</x:v>
      </x:c>
      <x:c r="B12" s="188" t="str">
        <x:v>单Agent与多Agent、GQA与MLA等适用范围差异</x:v>
      </x:c>
      <x:c r="C12" s="188" t="str">
        <x:v>Pythia显示多Agent可能低命中；Irminsul显示MLA需专门处理；当前硬件只适合先做一条明确主线。</x:v>
      </x:c>
      <x:c r="D12" s="206" t="n">
        <x:v>2</x:v>
      </x:c>
      <x:c r="E12" s="206" t="n">
        <x:v>5</x:v>
      </x:c>
      <x:c r="F12" s="206" t="n">
        <x:v>4</x:v>
      </x:c>
      <x:c r="G12" s="202" t="str">
        <x:v>中</x:v>
      </x:c>
      <x:c r="H12" s="188" t="str">
        <x:v>第一阶段限定单Agent、GQA、精确前缀；其余延后</x:v>
      </x:c>
    </x:row>
  </x:sheetData>
  <x:mergeCells>
    <x:mergeCell ref="A1:H1"/>
    <x:mergeCell ref="A2:H2"/>
  </x:mergeCells>
  <x:conditionalFormatting sqref="G5:G12">
    <x:cfRule type="containsText" dxfId="1" priority="1" operator="containsText" text="高"/>
  </x:conditionalFormatting>
  <x:pageMargins left="0.7" right="0.7" top="0.75" bottom="0.75" header="0.3" footer="0.3"/>
  <x:tableParts count="1">
    <x:tablePart xmlns:r="http://schemas.openxmlformats.org/officeDocument/2006/relationships" r:id="R3c39deb2eac141b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42" hidden="0" customWidth="1"/>
    <x:col min="3" max="3" width="11" hidden="0" customWidth="1"/>
    <x:col min="4" max="4" width="11" hidden="0" customWidth="1"/>
    <x:col min="5" max="5" width="11" hidden="0" customWidth="1"/>
    <x:col min="6" max="6" width="11" hidden="0" customWidth="1"/>
    <x:col min="7" max="7" width="11" hidden="0" customWidth="1"/>
    <x:col min="8" max="8" width="13" hidden="0" customWidth="1"/>
    <x:col min="9" max="9" width="20" hidden="0" customWidth="1"/>
    <x:col min="10" max="10" width="52" hidden="0" customWidth="1"/>
  </x:cols>
  <x:sheetData>
    <x:row r="1" ht="34" customHeight="1">
      <x:c r="A1" s="155" t="str">
        <x:v>候选研究路线评分</x:v>
      </x:c>
      <x:c r="B1" s="155" t="str">
        <x:v>候选研究路线评分</x:v>
      </x:c>
      <x:c r="C1" s="155" t="str">
        <x:v>候选研究路线评分</x:v>
      </x:c>
      <x:c r="D1" s="155" t="str">
        <x:v>候选研究路线评分</x:v>
      </x:c>
      <x:c r="E1" s="155" t="str">
        <x:v>候选研究路线评分</x:v>
      </x:c>
      <x:c r="F1" s="155" t="str">
        <x:v>候选研究路线评分</x:v>
      </x:c>
      <x:c r="G1" s="155" t="str">
        <x:v>候选研究路线评分</x:v>
      </x:c>
      <x:c r="H1" s="155" t="str">
        <x:v>候选研究路线评分</x:v>
      </x:c>
      <x:c r="I1" s="155" t="str">
        <x:v>候选研究路线评分</x:v>
      </x:c>
      <x:c r="J1" s="155" t="str">
        <x:v>候选研究路线评分</x:v>
      </x:c>
    </x:row>
    <x:row r="2" ht="30" customHeight="1">
      <x:c r="A2" s="204" t="str">
        <x:v>加权总分＝新颖性×40%＋可行性×20%＋证据支撑×15%＋范围可控×15%＋安全性×10%。总分只辅助决策；新颖性不足不能被高可行性掩盖。</x:v>
      </x:c>
      <x:c r="B2" s="204" t="str">
        <x:v>加权总分＝新颖性×40%＋可行性×20%＋证据支撑×15%＋范围可控×15%＋安全性×10%。总分只辅助决策；新颖性不足不能被高可行性掩盖。</x:v>
      </x:c>
      <x:c r="C2" s="204" t="str">
        <x:v>加权总分＝新颖性×40%＋可行性×20%＋证据支撑×15%＋范围可控×15%＋安全性×10%。总分只辅助决策；新颖性不足不能被高可行性掩盖。</x:v>
      </x:c>
      <x:c r="D2" s="204" t="str">
        <x:v>加权总分＝新颖性×40%＋可行性×20%＋证据支撑×15%＋范围可控×15%＋安全性×10%。总分只辅助决策；新颖性不足不能被高可行性掩盖。</x:v>
      </x:c>
      <x:c r="E2" s="204" t="str">
        <x:v>加权总分＝新颖性×40%＋可行性×20%＋证据支撑×15%＋范围可控×15%＋安全性×10%。总分只辅助决策；新颖性不足不能被高可行性掩盖。</x:v>
      </x:c>
      <x:c r="F2" s="204" t="str">
        <x:v>加权总分＝新颖性×40%＋可行性×20%＋证据支撑×15%＋范围可控×15%＋安全性×10%。总分只辅助决策；新颖性不足不能被高可行性掩盖。</x:v>
      </x:c>
      <x:c r="G2" s="204" t="str">
        <x:v>加权总分＝新颖性×40%＋可行性×20%＋证据支撑×15%＋范围可控×15%＋安全性×10%。总分只辅助决策；新颖性不足不能被高可行性掩盖。</x:v>
      </x:c>
      <x:c r="H2" s="204" t="str">
        <x:v>加权总分＝新颖性×40%＋可行性×20%＋证据支撑×15%＋范围可控×15%＋安全性×10%。总分只辅助决策；新颖性不足不能被高可行性掩盖。</x:v>
      </x:c>
      <x:c r="I2" s="204" t="str">
        <x:v>加权总分＝新颖性×40%＋可行性×20%＋证据支撑×15%＋范围可控×15%＋安全性×10%。总分只辅助决策；新颖性不足不能被高可行性掩盖。</x:v>
      </x:c>
      <x:c r="J2" s="204" t="str">
        <x:v>加权总分＝新颖性×40%＋可行性×20%＋证据支撑×15%＋范围可控×15%＋安全性×10%。总分只辅助决策；新颖性不足不能被高可行性掩盖。</x:v>
      </x:c>
    </x:row>
    <x:row r="3">
      <x:c r="A3" s="157"/>
      <x:c r="B3" s="157"/>
      <x:c r="C3" s="157"/>
      <x:c r="D3" s="157"/>
      <x:c r="E3" s="157"/>
      <x:c r="F3" s="157"/>
      <x:c r="G3" s="157"/>
      <x:c r="H3" s="157"/>
      <x:c r="I3" s="157"/>
      <x:c r="J3" s="157"/>
    </x:row>
    <x:row r="4" ht="30" customHeight="1">
      <x:c r="A4" s="184" t="str">
        <x:v>路线</x:v>
      </x:c>
      <x:c r="B4" s="197" t="str">
        <x:v>候选方向</x:v>
      </x:c>
      <x:c r="C4" s="197" t="str">
        <x:v>新颖性</x:v>
      </x:c>
      <x:c r="D4" s="197" t="str">
        <x:v>可行性</x:v>
      </x:c>
      <x:c r="E4" s="197" t="str">
        <x:v>证据支撑</x:v>
      </x:c>
      <x:c r="F4" s="197" t="str">
        <x:v>范围可控</x:v>
      </x:c>
      <x:c r="G4" s="197" t="str">
        <x:v>安全性</x:v>
      </x:c>
      <x:c r="H4" s="197" t="str">
        <x:v>加权总分</x:v>
      </x:c>
      <x:c r="I4" s="197" t="str">
        <x:v>决策</x:v>
      </x:c>
      <x:c r="J4" s="185" t="str">
        <x:v>理由</x:v>
      </x:c>
    </x:row>
    <x:row r="5" ht="60" customHeight="1">
      <x:c r="A5" s="186" t="str">
        <x:v>A</x:v>
      </x:c>
      <x:c r="B5" s="186" t="str">
        <x:v>继续追求原始前缀Token命中率</x:v>
      </x:c>
      <x:c r="C5" s="205" t="n">
        <x:v>1</x:v>
      </x:c>
      <x:c r="D5" s="205" t="n">
        <x:v>5</x:v>
      </x:c>
      <x:c r="E5" s="205" t="n">
        <x:v>5</x:v>
      </x:c>
      <x:c r="F5" s="205" t="n">
        <x:v>5</x:v>
      </x:c>
      <x:c r="G5" s="205" t="n">
        <x:v>5</x:v>
      </x:c>
      <x:c r="H5" s="207" t="n">
        <x:f>C5*40%+D5*20%+E5*15%+F5*15%+G5*10%</x:f>
        <x:v>3.4</x:v>
      </x:c>
      <x:c r="I5" s="186" t="str">
        <x:v>不作为主线</x:v>
      </x:c>
      <x:c r="J5" s="186" t="str">
        <x:v>已有真实轨迹接近或超过原95%目标；能做基线但难形成新贡献。</x:v>
      </x:c>
    </x:row>
    <x:row r="6" ht="60" customHeight="1">
      <x:c r="A6" s="188" t="str">
        <x:v>B</x:v>
      </x:c>
      <x:c r="B6" s="188" t="str">
        <x:v>通用GPU/DRAM/NVMe多层KV缓存</x:v>
      </x:c>
      <x:c r="C6" s="206" t="n">
        <x:v>2</x:v>
      </x:c>
      <x:c r="D6" s="206" t="n">
        <x:v>3</x:v>
      </x:c>
      <x:c r="E6" s="206" t="n">
        <x:v>5</x:v>
      </x:c>
      <x:c r="F6" s="206" t="n">
        <x:v>3</x:v>
      </x:c>
      <x:c r="G6" s="206" t="n">
        <x:v>4</x:v>
      </x:c>
      <x:c r="H6" s="208" t="n">
        <x:f>C6*40%+D6*20%+E6*15%+F6*15%+G6*10%</x:f>
        <x:v>3.0000000000000004</x:v>
      </x:c>
      <x:c r="I6" s="188" t="str">
        <x:v>不单独作为主线</x:v>
      </x:c>
      <x:c r="J6" s="188" t="str">
        <x:v>Strata、Tutti、KVDrive、HyMCache等已占据通用分层方向。</x:v>
      </x:c>
    </x:row>
    <x:row r="7" ht="60" customHeight="1">
      <x:c r="A7" s="188" t="str">
        <x:v>C</x:v>
      </x:c>
      <x:c r="B7" s="188" t="str">
        <x:v>宽泛Agent感知调度/TTL/语义淘汰</x:v>
      </x:c>
      <x:c r="C7" s="206" t="n">
        <x:v>2</x:v>
      </x:c>
      <x:c r="D7" s="206" t="n">
        <x:v>3</x:v>
      </x:c>
      <x:c r="E7" s="206" t="n">
        <x:v>5</x:v>
      </x:c>
      <x:c r="F7" s="206" t="n">
        <x:v>3</x:v>
      </x:c>
      <x:c r="G7" s="206" t="n">
        <x:v>4</x:v>
      </x:c>
      <x:c r="H7" s="208" t="n">
        <x:f>C7*40%+D7*20%+E7*15%+F7*15%+G7*10%</x:f>
        <x:v>3.0000000000000004</x:v>
      </x:c>
      <x:c r="I7" s="188" t="str">
        <x:v>仅作强基线</x:v>
      </x:c>
      <x:c r="J7" s="188" t="str">
        <x:v>CacheWise、Continuum、ThunderAgent、CONCUR、SAECache覆盖度高。</x:v>
      </x:c>
    </x:row>
    <x:row r="8" ht="60" customHeight="1">
      <x:c r="A8" s="188" t="str">
        <x:v>D</x:v>
      </x:c>
      <x:c r="B8" s="188" t="str">
        <x:v>受限单机的有效复用边界与价值密度分层保留</x:v>
      </x:c>
      <x:c r="C8" s="206" t="n">
        <x:v>4</x:v>
      </x:c>
      <x:c r="D8" s="206" t="n">
        <x:v>4</x:v>
      </x:c>
      <x:c r="E8" s="206" t="n">
        <x:v>4</x:v>
      </x:c>
      <x:c r="F8" s="206" t="n">
        <x:v>4</x:v>
      </x:c>
      <x:c r="G8" s="206" t="n">
        <x:v>5</x:v>
      </x:c>
      <x:c r="H8" s="208" t="n">
        <x:f>C8*40%+D8*20%+E8*15%+F8*15%+G8*10%</x:f>
        <x:v>4.1000000000000005</x:v>
      </x:c>
      <x:c r="I8" s="188" t="str">
        <x:v>推荐主线</x:v>
      </x:c>
      <x:c r="J8" s="188" t="str">
        <x:v>面向RTX 5090＋64GB DRAM＋NVMe，联合决定GPU保留、下沉或重算，并用有效命中与成功任务成本评估。</x:v>
      </x:c>
    </x:row>
    <x:row r="9" ht="60" customHeight="1">
      <x:c r="A9" s="188" t="str">
        <x:v>E</x:v>
      </x:c>
      <x:c r="B9" s="188" t="str">
        <x:v>仓库来源/依赖感知的非前缀KV安全复用</x:v>
      </x:c>
      <x:c r="C9" s="206" t="n">
        <x:v>5</x:v>
      </x:c>
      <x:c r="D9" s="206" t="n">
        <x:v>2</x:v>
      </x:c>
      <x:c r="E9" s="206" t="n">
        <x:v>3</x:v>
      </x:c>
      <x:c r="F9" s="206" t="n">
        <x:v>2</x:v>
      </x:c>
      <x:c r="G9" s="206" t="n">
        <x:v>1</x:v>
      </x:c>
      <x:c r="H9" s="208" t="n">
        <x:f>C9*40%+D9*20%+E9*15%+F9*15%+G9*10%</x:f>
        <x:v>3.2499999999999996</x:v>
      </x:c>
      <x:c r="I9" s="188" t="str">
        <x:v>高风险拓展</x:v>
      </x:c>
      <x:c r="J9" s="188" t="str">
        <x:v>潜在创新较强，但Transformer依赖、位置与攻击面使正确性风险很高。</x:v>
      </x:c>
    </x:row>
    <x:row r="10" ht="60" customHeight="1">
      <x:c r="A10" s="188" t="str">
        <x:v>F</x:v>
      </x:c>
      <x:c r="B10" s="188" t="str">
        <x:v>仅构建Agent Trace Replay基准</x:v>
      </x:c>
      <x:c r="C10" s="206" t="n">
        <x:v>1</x:v>
      </x:c>
      <x:c r="D10" s="206" t="n">
        <x:v>5</x:v>
      </x:c>
      <x:c r="E10" s="206" t="n">
        <x:v>5</x:v>
      </x:c>
      <x:c r="F10" s="206" t="n">
        <x:v>5</x:v>
      </x:c>
      <x:c r="G10" s="206" t="n">
        <x:v>5</x:v>
      </x:c>
      <x:c r="H10" s="208" t="n">
        <x:f>C10*40%+D10*20%+E10*15%+F10*15%+G10*10%</x:f>
        <x:v>3.4</x:v>
      </x:c>
      <x:c r="I10" s="188" t="str">
        <x:v>支撑工具，不作主线</x:v>
      </x:c>
      <x:c r="J10" s="188" t="str">
        <x:v>TraceLab和XPerf已提供相近能力；仍是实验可复现的必要基础设施。</x:v>
      </x:c>
    </x:row>
  </x:sheetData>
  <x:mergeCells>
    <x:mergeCell ref="A1:J1"/>
    <x:mergeCell ref="A2:J2"/>
  </x:mergeCells>
  <x:conditionalFormatting sqref="I5:I10">
    <x:cfRule type="containsText" dxfId="2" priority="1" operator="containsText" text="推荐"/>
    <x:cfRule type="containsText" dxfId="3" priority="2" operator="containsText" text="高风险"/>
  </x:conditionalFormatting>
  <x:pageMargins left="0.7" right="0.7" top="0.75" bottom="0.75" header="0.3" footer="0.3"/>
  <x:tableParts count="1">
    <x:tablePart xmlns:r="http://schemas.openxmlformats.org/officeDocument/2006/relationships" r:id="R542749da908143e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48" hidden="0" customWidth="1"/>
    <x:col min="3" max="3" width="36" hidden="0" customWidth="1"/>
    <x:col min="4" max="4" width="36" hidden="0" customWidth="1"/>
    <x:col min="5" max="5" width="36" hidden="0" customWidth="1"/>
    <x:col min="6" max="6" width="36" hidden="0" customWidth="1"/>
    <x:col min="7" max="7" width="12" hidden="0" customWidth="1"/>
  </x:cols>
  <x:sheetData>
    <x:row r="1" ht="34" customHeight="1">
      <x:c r="A1" s="209" t="str">
        <x:v>研究问题、假设与验证口径</x:v>
      </x:c>
      <x:c r="B1" s="209" t="str">
        <x:v>研究问题、假设与验证口径</x:v>
      </x:c>
      <x:c r="C1" s="209" t="str">
        <x:v>研究问题、假设与验证口径</x:v>
      </x:c>
      <x:c r="D1" s="209" t="str">
        <x:v>研究问题、假设与验证口径</x:v>
      </x:c>
      <x:c r="E1" s="209" t="str">
        <x:v>研究问题、假设与验证口径</x:v>
      </x:c>
      <x:c r="F1" s="209" t="str">
        <x:v>研究问题、假设与验证口径</x:v>
      </x:c>
      <x:c r="G1" s="209" t="str">
        <x:v>研究问题、假设与验证口径</x:v>
      </x:c>
    </x:row>
    <x:row r="2" ht="30" customHeight="1">
      <x:c r="A2" s="210" t="str">
        <x:v>RQ1–RQ4为推荐核心；RQ5和H6仅在精确前缀主线完成并通过正确性门槛后启动。</x:v>
      </x:c>
      <x:c r="B2" s="210" t="str">
        <x:v>RQ1–RQ4为推荐核心；RQ5和H6仅在精确前缀主线完成并通过正确性门槛后启动。</x:v>
      </x:c>
      <x:c r="C2" s="210" t="str">
        <x:v>RQ1–RQ4为推荐核心；RQ5和H6仅在精确前缀主线完成并通过正确性门槛后启动。</x:v>
      </x:c>
      <x:c r="D2" s="210" t="str">
        <x:v>RQ1–RQ4为推荐核心；RQ5和H6仅在精确前缀主线完成并通过正确性门槛后启动。</x:v>
      </x:c>
      <x:c r="E2" s="210" t="str">
        <x:v>RQ1–RQ4为推荐核心；RQ5和H6仅在精确前缀主线完成并通过正确性门槛后启动。</x:v>
      </x:c>
      <x:c r="F2" s="210" t="str">
        <x:v>RQ1–RQ4为推荐核心；RQ5和H6仅在精确前缀主线完成并通过正确性门槛后启动。</x:v>
      </x:c>
      <x:c r="G2" s="210" t="str">
        <x:v>RQ1–RQ4为推荐核心；RQ5和H6仅在精确前缀主线完成并通过正确性门槛后启动。</x:v>
      </x:c>
    </x:row>
    <x:row r="3">
      <x:c r="A3" s="211"/>
      <x:c r="B3" s="211"/>
      <x:c r="C3" s="211"/>
      <x:c r="D3" s="211"/>
      <x:c r="E3" s="211"/>
      <x:c r="F3" s="211"/>
      <x:c r="G3" s="211"/>
    </x:row>
    <x:row r="4" ht="30" customHeight="1">
      <x:c r="A4" s="212" t="str">
        <x:v>编号</x:v>
      </x:c>
      <x:c r="B4" s="213" t="str">
        <x:v>研究问题</x:v>
      </x:c>
      <x:c r="C4" s="213" t="str">
        <x:v>自变量/压力维度</x:v>
      </x:c>
      <x:c r="D4" s="213" t="str">
        <x:v>因变量/指标</x:v>
      </x:c>
      <x:c r="E4" s="213" t="str">
        <x:v>方法</x:v>
      </x:c>
      <x:c r="F4" s="213" t="str">
        <x:v>退出标准</x:v>
      </x:c>
      <x:c r="G4" s="214" t="str">
        <x:v>层级</x:v>
      </x:c>
    </x:row>
    <x:row r="5">
      <x:c r="A5" s="186" t="str">
        <x:v>RQ1</x:v>
      </x:c>
      <x:c r="B5" s="186" t="str">
        <x:v>在RTX 5090 32GB显存约束下，Code Agent理论前缀复用率与真实有效复用率之间有多大差距？</x:v>
      </x:c>
      <x:c r="C5" s="186" t="str">
        <x:v>会话间隔、并发数、上下文长度、缓存预算、修改位置</x:v>
      </x:c>
      <x:c r="D5" s="186" t="str">
        <x:v>理论Token命中率、有效Token命中率、逐出率、Prefill放大、TTFT</x:v>
      </x:c>
      <x:c r="E5" s="186" t="str">
        <x:v>Trace重放＋可控合成轨迹；逐层记录查询、传输、恢复、重算时间</x:v>
      </x:c>
      <x:c r="F5" s="186" t="str">
        <x:v>给出按负载分区的有效复用边界图，并能解释主要失效来源</x:v>
      </x:c>
      <x:c r="G5" s="186" t="str">
        <x:v>核心</x:v>
      </x:c>
    </x:row>
    <x:row r="6">
      <x:c r="A6" s="188" t="str">
        <x:v>RQ2</x:v>
      </x:c>
      <x:c r="B6" s="188" t="str">
        <x:v>暂停会话何时应留在GPU、迁移DRAM、迁移NVMe，或直接重算？</x:v>
      </x:c>
      <x:c r="C6" s="188" t="str">
        <x:v>预计返回时间、KV字节数、前缀长度、层级带宽/延迟、GPU排队压力</x:v>
      </x:c>
      <x:c r="D6" s="188" t="str">
        <x:v>迁移时间、重算时间、GPU占用、数据移动量、恢复TTFT</x:v>
      </x:c>
      <x:c r="E6" s="188" t="str">
        <x:v>微基准拟合load-vs-recompute交叉面；与固定阈值和固定TTL比较</x:v>
      </x:c>
      <x:c r="F6" s="188" t="str">
        <x:v>形成可测量的四选一决策规则，且不依赖单一固定阈值</x:v>
      </x:c>
      <x:c r="G6" s="188" t="str">
        <x:v>核心</x:v>
      </x:c>
    </x:row>
    <x:row r="7">
      <x:c r="A7" s="188" t="str">
        <x:v>RQ3</x:v>
      </x:c>
      <x:c r="B7" s="188" t="str">
        <x:v>价值密度策略能否在相同容量下优于LRU、固定TTL和DRAM-only基线？</x:v>
      </x:c>
      <x:c r="C7" s="188" t="str">
        <x:v>策略、缓存容量、并发、停顿分布、工具类型</x:v>
      </x:c>
      <x:c r="D7" s="188" t="str">
        <x:v>有效命中、P50/P95/P99 TTFT、会话完成时间、吞吐、迁移字节</x:v>
      </x:c>
      <x:c r="E7" s="188" t="str">
        <x:v>等容量、等Trace、等模型对比；完整消融返回时间、重算成本和字节密度信号</x:v>
      </x:c>
      <x:c r="F7" s="188" t="str">
        <x:v>至少在两个真实/近真实负载区间稳定优于强基线，而非只在单一合成点获益</x:v>
      </x:c>
      <x:c r="G7" s="188" t="str">
        <x:v>核心</x:v>
      </x:c>
    </x:row>
    <x:row r="8">
      <x:c r="A8" s="188" t="str">
        <x:v>RQ4</x:v>
      </x:c>
      <x:c r="B8" s="188" t="str">
        <x:v>缓存收益在加入任务成功率与端到端资源成本后是否仍然成立？</x:v>
      </x:c>
      <x:c r="C8" s="188" t="str">
        <x:v>缓存策略、Prompt/Harness固定与变化、任务难度</x:v>
      </x:c>
      <x:c r="D8" s="188" t="str">
        <x:v>成功率、代码测试通过率、每成功任务GPU秒/能耗/成本、输出一致性</x:v>
      </x:c>
      <x:c r="E8" s="188" t="str">
        <x:v>固定模型、Tokenizer、Prompt与Harness；对成功任务进行成本归一化</x:v>
      </x:c>
      <x:c r="F8" s="188" t="str">
        <x:v>性能结论与成功任务成本方向一致；若背离则明确否定原假设</x:v>
      </x:c>
      <x:c r="G8" s="188" t="str">
        <x:v>核心</x:v>
      </x:c>
    </x:row>
    <x:row r="9">
      <x:c r="A9" s="188" t="str">
        <x:v>RQ5（拓展）</x:v>
      </x:c>
      <x:c r="B9" s="188" t="str">
        <x:v>仓库来源和依赖信息能否为代码局部修改后的非前缀复用提供安全约束？</x:v>
      </x:c>
      <x:c r="C9" s="188" t="str">
        <x:v>文件修改比例、前置上下文、位置变化、依赖范围</x:v>
      </x:c>
      <x:c r="D9" s="188" t="str">
        <x:v>可复用Token、Logits误差、生成一致率、任务成功率</x:v>
      </x:c>
      <x:c r="E9" s="188" t="str">
        <x:v>仅在精确前缀主线完成后，以选择性重计算和严格输出校验开展</x:v>
      </x:c>
      <x:c r="F9" s="188" t="str">
        <x:v>任何近似复用都必须通过质量门槛；不满足即停止该路线</x:v>
      </x:c>
      <x:c r="G9" s="188" t="str">
        <x:v>拓展</x:v>
      </x:c>
    </x:row>
    <x:row r="10">
      <x:c r="A10" s="211"/>
      <x:c r="B10" s="211"/>
      <x:c r="C10" s="211"/>
      <x:c r="D10" s="211"/>
      <x:c r="E10" s="211"/>
      <x:c r="F10" s="211"/>
      <x:c r="G10" s="211"/>
    </x:row>
    <x:row r="11">
      <x:c r="A11" s="211"/>
      <x:c r="B11" s="211"/>
      <x:c r="C11" s="211"/>
      <x:c r="D11" s="211"/>
      <x:c r="E11" s="211"/>
      <x:c r="F11" s="211"/>
      <x:c r="G11" s="211"/>
    </x:row>
    <x:row r="12" ht="24" customHeight="1">
      <x:c r="A12" s="215" t="str">
        <x:v>可证伪假设</x:v>
      </x:c>
      <x:c r="B12" s="215" t="str">
        <x:v>可证伪假设</x:v>
      </x:c>
      <x:c r="C12" s="215" t="str">
        <x:v>可证伪假设</x:v>
      </x:c>
      <x:c r="D12" s="215" t="str">
        <x:v>可证伪假设</x:v>
      </x:c>
      <x:c r="E12" s="215" t="str">
        <x:v>可证伪假设</x:v>
      </x:c>
      <x:c r="F12" s="215" t="str">
        <x:v>可证伪假设</x:v>
      </x:c>
      <x:c r="G12" s="215" t="str">
        <x:v>可证伪假设</x:v>
      </x:c>
    </x:row>
    <x:row r="13" ht="30" customHeight="1">
      <x:c r="A13" s="212" t="str">
        <x:v>编号</x:v>
      </x:c>
      <x:c r="B13" s="213" t="str">
        <x:v>假设</x:v>
      </x:c>
      <x:c r="C13" s="213" t="str">
        <x:v>验证方法</x:v>
      </x:c>
      <x:c r="D13" s="214" t="str">
        <x:v>证伪条件</x:v>
      </x:c>
      <x:c r="E13" s="211"/>
      <x:c r="F13" s="211"/>
      <x:c r="G13" s="211"/>
    </x:row>
    <x:row r="14">
      <x:c r="A14" s="186" t="str">
        <x:v>H1</x:v>
      </x:c>
      <x:c r="B14" s="186" t="str">
        <x:v>追加型Code Agent轨迹的理论前缀复用很高，但32GB显存、暂停与并发会显著降低有效复用。</x:v>
      </x:c>
      <x:c r="C14" s="186" t="str">
        <x:v>比较无限缓存理论值、GPU受限值和分层恢复后的有效值。</x:v>
      </x:c>
      <x:c r="D14" s="186" t="str">
        <x:v>三者差异在所有代表性负载下均很小。</x:v>
      </x:c>
      <x:c r="E14" s="211"/>
      <x:c r="F14" s="211"/>
      <x:c r="G14" s="211"/>
    </x:row>
    <x:row r="15">
      <x:c r="A15" s="188" t="str">
        <x:v>H2</x:v>
      </x:c>
      <x:c r="B15" s="188" t="str">
        <x:v>load-vs-recompute交叉点同时依赖前缀长度、层级带宽和排队压力，单一固定阈值无法覆盖。</x:v>
      </x:c>
      <x:c r="C15" s="188" t="str">
        <x:v>对GPU/DRAM/NVMe分别拟合交叉面，并跨负载验证。</x:v>
      </x:c>
      <x:c r="D15" s="188" t="str">
        <x:v>固定阈值在所有负载上与拟合策略等效。</x:v>
      </x:c>
      <x:c r="E15" s="211"/>
      <x:c r="F15" s="211"/>
      <x:c r="G15" s="211"/>
    </x:row>
    <x:row r="16">
      <x:c r="A16" s="188" t="str">
        <x:v>H3</x:v>
      </x:c>
      <x:c r="B16" s="188" t="str">
        <x:v>联合返回概率、重算成本和字节占用的价值密度策略，在等容量下优于LRU和固定TTL。</x:v>
      </x:c>
      <x:c r="C16" s="188" t="str">
        <x:v>与LRU、固定TTL、CacheWise式预测和DRAM-only基线做等容量对比。</x:v>
      </x:c>
      <x:c r="D16" s="188" t="str">
        <x:v>强基线在主要指标上持平或更优。</x:v>
      </x:c>
      <x:c r="E16" s="211"/>
      <x:c r="F16" s="211"/>
      <x:c r="G16" s="211"/>
    </x:row>
    <x:row r="17">
      <x:c r="A17" s="188" t="str">
        <x:v>H4</x:v>
      </x:c>
      <x:c r="B17" s="188" t="str">
        <x:v>优化原始命中率可能增加跨层数据移动或排队，因而降低吞吐；有效命中率与端到端收益相关性更高。</x:v>
      </x:c>
      <x:c r="C17" s="188" t="str">
        <x:v>同时记录原始命中、有效命中、数据移动、TTFT和吞吐并做相关分析。</x:v>
      </x:c>
      <x:c r="D17" s="188" t="str">
        <x:v>原始命中率始终能可靠预测端到端收益。</x:v>
      </x:c>
      <x:c r="E17" s="211"/>
      <x:c r="F17" s="211"/>
      <x:c r="G17" s="211"/>
    </x:row>
    <x:row r="18">
      <x:c r="A18" s="188" t="str">
        <x:v>H5</x:v>
      </x:c>
      <x:c r="B18" s="188" t="str">
        <x:v>分层保留的性能增益在任务正确性与每成功任务成本校正后仍然存在。</x:v>
      </x:c>
      <x:c r="C18" s="188" t="str">
        <x:v>运行代码任务测试并按成功任务归一化资源成本。</x:v>
      </x:c>
      <x:c r="D18" s="188" t="str">
        <x:v>策略提高缓存指标但降低成功率或成功任务成本不降。</x:v>
      </x:c>
      <x:c r="E18" s="211"/>
      <x:c r="F18" s="211"/>
      <x:c r="G18" s="211"/>
    </x:row>
    <x:row r="19">
      <x:c r="A19" s="188" t="str">
        <x:v>H6（拓展）</x:v>
      </x:c>
      <x:c r="B19" s="188" t="str">
        <x:v>仓库来源/依赖约束可安全恢复部分非前缀机会，但必须依赖选择性重算和严格校验。</x:v>
      </x:c>
      <x:c r="C19" s="188" t="str">
        <x:v>局部修改合成实验＋Logits/Token/任务三级正确性门槛。</x:v>
      </x:c>
      <x:c r="D19" s="188" t="str">
        <x:v>误差或失败率不可接受，或收益不足以覆盖修复成本。</x:v>
      </x:c>
      <x:c r="E19" s="211"/>
      <x:c r="F19" s="211"/>
      <x:c r="G19" s="211"/>
    </x:row>
    <x:row r="20">
      <x:c r="A20" s="211"/>
      <x:c r="B20" s="211"/>
      <x:c r="C20" s="211"/>
      <x:c r="D20" s="211"/>
      <x:c r="E20" s="211"/>
      <x:c r="F20" s="211"/>
      <x:c r="G20" s="211"/>
    </x:row>
    <x:row r="21" ht="24" customHeight="1">
      <x:c r="A21" s="215" t="str">
        <x:v>强制基线</x:v>
      </x:c>
      <x:c r="B21" s="215" t="str">
        <x:v>强制基线</x:v>
      </x:c>
      <x:c r="C21" s="215" t="str">
        <x:v>强制基线</x:v>
      </x:c>
      <x:c r="D21" s="215" t="str">
        <x:v>强制基线</x:v>
      </x:c>
      <x:c r="E21" s="215" t="str">
        <x:v>强制基线</x:v>
      </x:c>
      <x:c r="F21" s="215" t="str">
        <x:v>强制基线</x:v>
      </x:c>
      <x:c r="G21" s="215" t="str">
        <x:v>强制基线</x:v>
      </x:c>
    </x:row>
    <x:row r="22" ht="30" customHeight="1">
      <x:c r="A22" s="212" t="str">
        <x:v>编号</x:v>
      </x:c>
      <x:c r="B22" s="213" t="str">
        <x:v>基线</x:v>
      </x:c>
      <x:c r="C22" s="213" t="str">
        <x:v>作用</x:v>
      </x:c>
      <x:c r="D22" s="214" t="str">
        <x:v>是否强制</x:v>
      </x:c>
      <x:c r="E22" s="211"/>
      <x:c r="F22" s="211"/>
      <x:c r="G22" s="211"/>
    </x:row>
    <x:row r="23">
      <x:c r="A23" s="186" t="str">
        <x:v>B0</x:v>
      </x:c>
      <x:c r="B23" s="186" t="str">
        <x:v>无跨请求缓存</x:v>
      </x:c>
      <x:c r="C23" s="186" t="str">
        <x:v>端到端重算基线</x:v>
      </x:c>
      <x:c r="D23" s="186" t="str">
        <x:v>是</x:v>
      </x:c>
      <x:c r="E23" s="211"/>
      <x:c r="F23" s="211"/>
      <x:c r="G23" s="211"/>
    </x:row>
    <x:row r="24">
      <x:c r="A24" s="188" t="str">
        <x:v>B1</x:v>
      </x:c>
      <x:c r="B24" s="188" t="str">
        <x:v>vLLM精确前缀＋LRU</x:v>
      </x:c>
      <x:c r="C24" s="188" t="str">
        <x:v>生产式基础前缀缓存</x:v>
      </x:c>
      <x:c r="D24" s="188" t="str">
        <x:v>是</x:v>
      </x:c>
      <x:c r="E24" s="211"/>
      <x:c r="F24" s="211"/>
      <x:c r="G24" s="211"/>
    </x:row>
    <x:row r="25">
      <x:c r="A25" s="188" t="str">
        <x:v>B2</x:v>
      </x:c>
      <x:c r="B25" s="188" t="str">
        <x:v>固定TTL GPU保留</x:v>
      </x:c>
      <x:c r="C25" s="188" t="str">
        <x:v>Continuum/TTL思想的简化强基线</x:v>
      </x:c>
      <x:c r="D25" s="188" t="str">
        <x:v>是</x:v>
      </x:c>
      <x:c r="E25" s="211"/>
      <x:c r="F25" s="211"/>
      <x:c r="G25" s="211"/>
    </x:row>
    <x:row r="26">
      <x:c r="A26" s="188" t="str">
        <x:v>B3</x:v>
      </x:c>
      <x:c r="B26" s="188" t="str">
        <x:v>工具时长/返回概率预测淘汰</x:v>
      </x:c>
      <x:c r="C26" s="188" t="str">
        <x:v>CacheWise式Agent感知基线</x:v>
      </x:c>
      <x:c r="D26" s="188" t="str">
        <x:v>是</x:v>
      </x:c>
      <x:c r="E26" s="211"/>
      <x:c r="F26" s="211"/>
      <x:c r="G26" s="211"/>
    </x:row>
    <x:row r="27">
      <x:c r="A27" s="188" t="str">
        <x:v>B4</x:v>
      </x:c>
      <x:c r="B27" s="188" t="str">
        <x:v>DRAM-only卸载（LMCache式）</x:v>
      </x:c>
      <x:c r="C27" s="188" t="str">
        <x:v>验证单层主机内存迁移收益</x:v>
      </x:c>
      <x:c r="D27" s="188" t="str">
        <x:v>是</x:v>
      </x:c>
      <x:c r="E27" s="211"/>
      <x:c r="F27" s="211"/>
      <x:c r="G27" s="211"/>
    </x:row>
    <x:row r="28">
      <x:c r="A28" s="188" t="str">
        <x:v>B5</x:v>
      </x:c>
      <x:c r="B28" s="188" t="str">
        <x:v>GPU＋DRAM＋NVMe价值密度策略</x:v>
      </x:c>
      <x:c r="C28" s="188" t="str">
        <x:v>本项目候选方案</x:v>
      </x:c>
      <x:c r="D28" s="188" t="str">
        <x:v>是</x:v>
      </x:c>
      <x:c r="E28" s="211"/>
      <x:c r="F28" s="211"/>
      <x:c r="G28" s="211"/>
    </x:row>
    <x:row r="29">
      <x:c r="A29" s="188" t="str">
        <x:v>B6</x:v>
      </x:c>
      <x:c r="B29" s="188" t="str">
        <x:v>Provider Keepalive</x:v>
      </x:c>
      <x:c r="C29" s="188" t="str">
        <x:v>仅作API经济学分析对照，不与本地系统混为一谈</x:v>
      </x:c>
      <x:c r="D29" s="188" t="str">
        <x:v>否</x:v>
      </x:c>
      <x:c r="E29" s="211"/>
      <x:c r="F29" s="211"/>
      <x:c r="G29" s="211"/>
    </x:row>
    <x:row r="30">
      <x:c r="A30" s="211"/>
      <x:c r="B30" s="211"/>
      <x:c r="C30" s="211"/>
      <x:c r="D30" s="211"/>
      <x:c r="E30" s="211"/>
      <x:c r="F30" s="211"/>
      <x:c r="G30" s="211"/>
    </x:row>
    <x:row r="31" ht="24" customHeight="1">
      <x:c r="A31" s="215" t="str">
        <x:v>指标口径</x:v>
      </x:c>
      <x:c r="B31" s="215" t="str">
        <x:v>指标口径</x:v>
      </x:c>
      <x:c r="C31" s="215" t="str">
        <x:v>指标口径</x:v>
      </x:c>
      <x:c r="D31" s="215" t="str">
        <x:v>指标口径</x:v>
      </x:c>
      <x:c r="E31" s="215" t="str">
        <x:v>指标口径</x:v>
      </x:c>
      <x:c r="F31" s="215" t="str">
        <x:v>指标口径</x:v>
      </x:c>
      <x:c r="G31" s="215" t="str">
        <x:v>指标口径</x:v>
      </x:c>
    </x:row>
    <x:row r="32" ht="30" customHeight="1">
      <x:c r="A32" s="212" t="str">
        <x:v>组别</x:v>
      </x:c>
      <x:c r="B32" s="213" t="str">
        <x:v>指标</x:v>
      </x:c>
      <x:c r="C32" s="213" t="str">
        <x:v>定义</x:v>
      </x:c>
      <x:c r="D32" s="214" t="str">
        <x:v>用途</x:v>
      </x:c>
      <x:c r="E32" s="211"/>
      <x:c r="F32" s="211"/>
      <x:c r="G32" s="211"/>
    </x:row>
    <x:row r="33">
      <x:c r="A33" s="186" t="str">
        <x:v>复用</x:v>
      </x:c>
      <x:c r="B33" s="186" t="str">
        <x:v>理论Token命中率</x:v>
      </x:c>
      <x:c r="C33" s="186" t="str">
        <x:v>可找到相同Token前缀的Token数 / 全部Prefill Token数</x:v>
      </x:c>
      <x:c r="D33" s="186" t="str">
        <x:v>描述性上界</x:v>
      </x:c>
      <x:c r="E33" s="211"/>
      <x:c r="F33" s="211"/>
      <x:c r="G33" s="211"/>
    </x:row>
    <x:row r="34">
      <x:c r="A34" s="188" t="str">
        <x:v>复用</x:v>
      </x:c>
      <x:c r="B34" s="188" t="str">
        <x:v>有效Token命中率</x:v>
      </x:c>
      <x:c r="C34" s="188" t="str">
        <x:v>满足查询＋传输＋恢复 &lt; 重算的复用Token数 / 全部Prefill Token数</x:v>
      </x:c>
      <x:c r="D34" s="188" t="str">
        <x:v>主指标</x:v>
      </x:c>
      <x:c r="E34" s="211"/>
      <x:c r="F34" s="211"/>
      <x:c r="G34" s="211"/>
    </x:row>
    <x:row r="35">
      <x:c r="A35" s="188" t="str">
        <x:v>延迟</x:v>
      </x:c>
      <x:c r="B35" s="188" t="str">
        <x:v>TTFT P50/P95/P99</x:v>
      </x:c>
      <x:c r="C35" s="188" t="str">
        <x:v>端到端请求到首Token延迟，区分完全命中/部分命中/未命中</x:v>
      </x:c>
      <x:c r="D35" s="188" t="str">
        <x:v>主指标</x:v>
      </x:c>
      <x:c r="E35" s="211"/>
      <x:c r="F35" s="211"/>
      <x:c r="G35" s="211"/>
    </x:row>
    <x:row r="36">
      <x:c r="A36" s="188" t="str">
        <x:v>会话</x:v>
      </x:c>
      <x:c r="B36" s="188" t="str">
        <x:v>Session Completion Time</x:v>
      </x:c>
      <x:c r="C36" s="188" t="str">
        <x:v>从任务开始到Agent任务终止的墙钟时间</x:v>
      </x:c>
      <x:c r="D36" s="188" t="str">
        <x:v>主指标</x:v>
      </x:c>
      <x:c r="E36" s="211"/>
      <x:c r="F36" s="211"/>
      <x:c r="G36" s="211"/>
    </x:row>
    <x:row r="37">
      <x:c r="A37" s="188" t="str">
        <x:v>资源</x:v>
      </x:c>
      <x:c r="B37" s="188" t="str">
        <x:v>KV数据移动量</x:v>
      </x:c>
      <x:c r="C37" s="188" t="str">
        <x:v>GPU↔DRAM、DRAM↔NVMe的读写字节及时间</x:v>
      </x:c>
      <x:c r="D37" s="188" t="str">
        <x:v>机制解释</x:v>
      </x:c>
      <x:c r="E37" s="211"/>
      <x:c r="F37" s="211"/>
      <x:c r="G37" s="211"/>
    </x:row>
    <x:row r="38">
      <x:c r="A38" s="188" t="str">
        <x:v>资源</x:v>
      </x:c>
      <x:c r="B38" s="188" t="str">
        <x:v>GPU秒与能耗</x:v>
      </x:c>
      <x:c r="C38" s="188" t="str">
        <x:v>每请求/每会话GPU活动时间与功耗积分</x:v>
      </x:c>
      <x:c r="D38" s="188" t="str">
        <x:v>成本输入</x:v>
      </x:c>
      <x:c r="E38" s="211"/>
      <x:c r="F38" s="211"/>
      <x:c r="G38" s="211"/>
    </x:row>
    <x:row r="39">
      <x:c r="A39" s="188" t="str">
        <x:v>正确性</x:v>
      </x:c>
      <x:c r="B39" s="188" t="str">
        <x:v>输出与任务成功</x:v>
      </x:c>
      <x:c r="C39" s="188" t="str">
        <x:v>Logits/Token一致性、测试通过率与任务成功率</x:v>
      </x:c>
      <x:c r="D39" s="188" t="str">
        <x:v>硬门槛</x:v>
      </x:c>
      <x:c r="E39" s="211"/>
      <x:c r="F39" s="211"/>
      <x:c r="G39" s="211"/>
    </x:row>
    <x:row r="40">
      <x:c r="A40" s="188" t="str">
        <x:v>终局</x:v>
      </x:c>
      <x:c r="B40" s="188" t="str">
        <x:v>每成功任务成本</x:v>
      </x:c>
      <x:c r="C40" s="188" t="str">
        <x:v>端到端GPU、CPU、存储、能耗成本 / 成功任务数</x:v>
      </x:c>
      <x:c r="D40" s="188" t="str">
        <x:v>终局指标</x:v>
      </x:c>
      <x:c r="E40" s="211"/>
      <x:c r="F40" s="211"/>
      <x:c r="G40" s="211"/>
    </x:row>
  </x:sheetData>
  <x:mergeCells>
    <x:mergeCell ref="A1:G1"/>
    <x:mergeCell ref="A2:G2"/>
    <x:mergeCell ref="A12:G12"/>
    <x:mergeCell ref="A21:G21"/>
    <x:mergeCell ref="A31:G31"/>
  </x:mergeCells>
  <x:pageMargins left="0.7" right="0.7" top="0.75" bottom="0.75" header="0.3" footer="0.3"/>
  <x:tableParts count="4">
    <x:tablePart xmlns:r="http://schemas.openxmlformats.org/officeDocument/2006/relationships" r:id="R9e3ab70f83264e48"/>
    <x:tablePart xmlns:r="http://schemas.openxmlformats.org/officeDocument/2006/relationships" r:id="Rb5856b7161fe4be4"/>
    <x:tablePart xmlns:r="http://schemas.openxmlformats.org/officeDocument/2006/relationships" r:id="R6f7e5c85ff9f4b94"/>
    <x:tablePart xmlns:r="http://schemas.openxmlformats.org/officeDocument/2006/relationships" r:id="R83e969ec4537437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0" hidden="0" customWidth="1"/>
    <x:col min="4" max="4" width="48" hidden="0" customWidth="1"/>
    <x:col min="5" max="5" width="42" hidden="0" customWidth="1"/>
    <x:col min="6" max="6" width="30" hidden="0" customWidth="1"/>
    <x:col min="7" max="7" width="30" hidden="0" customWidth="1"/>
    <x:col min="8" max="8" width="30" hidden="0" customWidth="1"/>
    <x:col min="9" max="9" width="30" hidden="0" customWidth="1"/>
    <x:col min="10" max="10" width="30" hidden="0" customWidth="1"/>
    <x:col min="11" max="11" width="30" hidden="0" customWidth="1"/>
    <x:col min="12" max="12" width="30" hidden="0" customWidth="1"/>
    <x:col min="13" max="13" width="30" hidden="0" customWidth="1"/>
    <x:col min="14" max="14" width="38" hidden="0" customWidth="1"/>
    <x:col min="15" max="15" width="38" hidden="0" customWidth="1"/>
  </x:cols>
  <x:sheetData>
    <x:row r="1" ht="34" customHeight="1">
      <x:c r="A1" s="155" t="str">
        <x:v>0-4阶段补充的近期关键文献（15项）</x:v>
      </x:c>
      <x:c r="B1" s="155" t="str">
        <x:v>0-4阶段补充的近期关键文献（15项）</x:v>
      </x:c>
      <x:c r="C1" s="155" t="str">
        <x:v>0-4阶段补充的近期关键文献（15项）</x:v>
      </x:c>
      <x:c r="D1" s="155" t="str">
        <x:v>0-4阶段补充的近期关键文献（15项）</x:v>
      </x:c>
      <x:c r="E1" s="155" t="str">
        <x:v>0-4阶段补充的近期关键文献（15项）</x:v>
      </x:c>
      <x:c r="F1" s="155" t="str">
        <x:v>0-4阶段补充的近期关键文献（15项）</x:v>
      </x:c>
      <x:c r="G1" s="155" t="str">
        <x:v>0-4阶段补充的近期关键文献（15项）</x:v>
      </x:c>
      <x:c r="H1" s="155" t="str">
        <x:v>0-4阶段补充的近期关键文献（15项）</x:v>
      </x:c>
      <x:c r="I1" s="155" t="str">
        <x:v>0-4阶段补充的近期关键文献（15项）</x:v>
      </x:c>
      <x:c r="J1" s="155" t="str">
        <x:v>0-4阶段补充的近期关键文献（15项）</x:v>
      </x:c>
      <x:c r="K1" s="155" t="str">
        <x:v>0-4阶段补充的近期关键文献（15项）</x:v>
      </x:c>
      <x:c r="L1" s="155" t="str">
        <x:v>0-4阶段补充的近期关键文献（15项）</x:v>
      </x:c>
      <x:c r="M1" s="155" t="str">
        <x:v>0-4阶段补充的近期关键文献（15项）</x:v>
      </x:c>
      <x:c r="N1" s="155" t="str">
        <x:v>0-4阶段补充的近期关键文献（15项）</x:v>
      </x:c>
      <x:c r="O1" s="155" t="str">
        <x:v>0-4阶段补充的近期关键文献（15项）</x:v>
      </x:c>
    </x:row>
    <x:row r="2" ht="30" customHeight="1">
      <x:c r="A2" s="204" t="str">
        <x:v>均使用论文官方页面或项目官方仓库作为主入口；结论以公开版本为准，后续阶段需记录版本号。</x:v>
      </x:c>
      <x:c r="B2" s="204" t="str">
        <x:v>均使用论文官方页面或项目官方仓库作为主入口；结论以公开版本为准，后续阶段需记录版本号。</x:v>
      </x:c>
      <x:c r="C2" s="204" t="str">
        <x:v>均使用论文官方页面或项目官方仓库作为主入口；结论以公开版本为准，后续阶段需记录版本号。</x:v>
      </x:c>
      <x:c r="D2" s="204" t="str">
        <x:v>均使用论文官方页面或项目官方仓库作为主入口；结论以公开版本为准，后续阶段需记录版本号。</x:v>
      </x:c>
      <x:c r="E2" s="204" t="str">
        <x:v>均使用论文官方页面或项目官方仓库作为主入口；结论以公开版本为准，后续阶段需记录版本号。</x:v>
      </x:c>
      <x:c r="F2" s="204" t="str">
        <x:v>均使用论文官方页面或项目官方仓库作为主入口；结论以公开版本为准，后续阶段需记录版本号。</x:v>
      </x:c>
      <x:c r="G2" s="204" t="str">
        <x:v>均使用论文官方页面或项目官方仓库作为主入口；结论以公开版本为准，后续阶段需记录版本号。</x:v>
      </x:c>
      <x:c r="H2" s="204" t="str">
        <x:v>均使用论文官方页面或项目官方仓库作为主入口；结论以公开版本为准，后续阶段需记录版本号。</x:v>
      </x:c>
      <x:c r="I2" s="204" t="str">
        <x:v>均使用论文官方页面或项目官方仓库作为主入口；结论以公开版本为准，后续阶段需记录版本号。</x:v>
      </x:c>
      <x:c r="J2" s="204" t="str">
        <x:v>均使用论文官方页面或项目官方仓库作为主入口；结论以公开版本为准，后续阶段需记录版本号。</x:v>
      </x:c>
      <x:c r="K2" s="204" t="str">
        <x:v>均使用论文官方页面或项目官方仓库作为主入口；结论以公开版本为准，后续阶段需记录版本号。</x:v>
      </x:c>
      <x:c r="L2" s="204" t="str">
        <x:v>均使用论文官方页面或项目官方仓库作为主入口；结论以公开版本为准，后续阶段需记录版本号。</x:v>
      </x:c>
      <x:c r="M2" s="204" t="str">
        <x:v>均使用论文官方页面或项目官方仓库作为主入口；结论以公开版本为准，后续阶段需记录版本号。</x:v>
      </x:c>
      <x:c r="N2" s="204" t="str">
        <x:v>均使用论文官方页面或项目官方仓库作为主入口；结论以公开版本为准，后续阶段需记录版本号。</x:v>
      </x:c>
      <x:c r="O2" s="204" t="str">
        <x:v>均使用论文官方页面或项目官方仓库作为主入口；结论以公开版本为准，后续阶段需记录版本号。</x:v>
      </x:c>
    </x:row>
    <x:row r="3">
      <x:c r="A3" s="157"/>
      <x:c r="B3" s="157"/>
      <x:c r="C3" s="157"/>
      <x:c r="D3" s="157"/>
      <x:c r="E3" s="157"/>
      <x:c r="F3" s="157"/>
      <x:c r="G3" s="157"/>
      <x:c r="H3" s="157"/>
      <x:c r="I3" s="157"/>
      <x:c r="J3" s="157"/>
      <x:c r="K3" s="157"/>
      <x:c r="L3" s="157"/>
      <x:c r="M3" s="157"/>
      <x:c r="N3" s="157"/>
      <x:c r="O3" s="157"/>
    </x:row>
    <x:row r="4" ht="30" customHeight="1">
      <x:c r="A4" s="184" t="str">
        <x:v>编号</x:v>
      </x:c>
      <x:c r="B4" s="197" t="str">
        <x:v>优先级</x:v>
      </x:c>
      <x:c r="C4" s="197" t="str">
        <x:v>年份</x:v>
      </x:c>
      <x:c r="D4" s="197" t="str">
        <x:v>标题</x:v>
      </x:c>
      <x:c r="E4" s="197" t="str">
        <x:v>作者</x:v>
      </x:c>
      <x:c r="F4" s="197" t="str">
        <x:v>项目角色</x:v>
      </x:c>
      <x:c r="G4" s="197" t="str">
        <x:v>方法族</x:v>
      </x:c>
      <x:c r="H4" s="197" t="str">
        <x:v>工作负载</x:v>
      </x:c>
      <x:c r="I4" s="197" t="str">
        <x:v>复用范围</x:v>
      </x:c>
      <x:c r="J4" s="197" t="str">
        <x:v>存储层级</x:v>
      </x:c>
      <x:c r="K4" s="197" t="str">
        <x:v>评测证据</x:v>
      </x:c>
      <x:c r="L4" s="197" t="str">
        <x:v>项目局限</x:v>
      </x:c>
      <x:c r="M4" s="197" t="str">
        <x:v>Gap</x:v>
      </x:c>
      <x:c r="N4" s="197" t="str">
        <x:v>论文入口</x:v>
      </x:c>
      <x:c r="O4" s="185" t="str">
        <x:v>代码/数据</x:v>
      </x:c>
    </x:row>
    <x:row r="5" ht="70" customHeight="1">
      <x:c r="A5" s="186" t="str">
        <x:v>S01</x:v>
      </x:c>
      <x:c r="B5" s="186" t="str">
        <x:v>A</x:v>
      </x:c>
      <x:c r="C5" s="186" t="n">
        <x:v>2026</x:v>
      </x:c>
      <x:c r="D5" s="186" t="str">
        <x:v>TraceLab: Characterizing Coding Agent Workloads for LLM Serving</x:v>
      </x:c>
      <x:c r="E5" s="186" t="str">
        <x:v>Kan Zhu; Mathew Jacob; Chenxi Ma; Yi Pan; Stephanie Wang; Arvind Krishnamurthy; Baris Kasikci</x:v>
      </x:c>
      <x:c r="F5" s="186" t="str">
        <x:v>真实Coding Agent轨迹与理论前缀命中上界</x:v>
      </x:c>
      <x:c r="G5" s="186" t="str">
        <x:v>真实轨迹与工作负载刻画</x:v>
      </x:c>
      <x:c r="H5" s="186" t="str">
        <x:v>Claude Code与Codex日常开发轨迹</x:v>
      </x:c>
      <x:c r="I5" s="186" t="str">
        <x:v>跨轮精确前缀</x:v>
      </x:c>
      <x:c r="J5" s="186" t="str">
        <x:v>未形成完整单机分层策略</x:v>
      </x:c>
      <x:c r="K5" s="186" t="str">
        <x:v>约4,300会话、35万LLM步骤、43万工具调用；报告高但不完美的前缀命中，并揭示人类停顿造成失效</x:v>
      </x:c>
      <x:c r="L5" s="186" t="str">
        <x:v>主要提供轨迹、特征与理论分析；未解决32GB GPU约束下GPU/DRAM/NVMe联合保留决策</x:v>
      </x:c>
      <x:c r="M5" s="186" t="str">
        <x:v>G2 有效复用鸿沟</x:v>
      </x:c>
      <x:c r="N5" s="200" t="str">
        <x:v>https://arxiv.org/abs/2606.30560</x:v>
      </x:c>
      <x:c r="O5" s="200" t="str">
        <x:v>https://github.com/uw-syfi/TraceLab</x:v>
      </x:c>
    </x:row>
    <x:row r="6" ht="70" customHeight="1">
      <x:c r="A6" s="188" t="str">
        <x:v>S02</x:v>
      </x:c>
      <x:c r="B6" s="188" t="str">
        <x:v>A</x:v>
      </x:c>
      <x:c r="C6" s="188" t="n">
        <x:v>2026</x:v>
      </x:c>
      <x:c r="D6" s="188" t="str">
        <x:v>CacheWise: Understanding Workloads and Optimizing KVCache Management for Efficiently Serving LLM Coding Agents</x:v>
      </x:c>
      <x:c r="E6" s="188" t="str">
        <x:v>Shubham Tiwari; Tapan Chugh; Nash Rickert; Simon Peter; Ratul Mahajan; Haiying Shen</x:v>
      </x:c>
      <x:c r="F6" s="188" t="str">
        <x:v>Coding Agent前缀感知调度与工具元数据驱动淘汰</x:v>
      </x:c>
      <x:c r="G6" s="188" t="str">
        <x:v>Agent感知调度与淘汰</x:v>
      </x:c>
      <x:c r="H6" s="188" t="str">
        <x:v>真实Claude Code轨迹（CATraces）</x:v>
      </x:c>
      <x:c r="I6" s="188" t="str">
        <x:v>跨轮精确前缀</x:v>
      </x:c>
      <x:c r="J6" s="188" t="str">
        <x:v>GPU为主，含CPU DRAM卸载评估</x:v>
      </x:c>
      <x:c r="K6" s="188" t="str">
        <x:v>在vLLM中实现；缓存逐出降低约2–2.6倍，会话完成时间最高改善约3.5倍</x:v>
      </x:c>
      <x:c r="L6" s="188" t="str">
        <x:v>已占据宽泛的Coding Agent感知调度/淘汰主线；分层存储被视为互补，仍缺受限单机的联合层级决策</x:v>
      </x:c>
      <x:c r="M6" s="188" t="str">
        <x:v>G3 联合层级决策</x:v>
      </x:c>
      <x:c r="N6" s="203" t="str">
        <x:v>https://arxiv.org/abs/2606.16824</x:v>
      </x:c>
      <x:c r="O6" s="203" t="str">
        <x:v>https://github.com/cachewise-project/cachewise-coding-traces</x:v>
      </x:c>
    </x:row>
    <x:row r="7" ht="70" customHeight="1">
      <x:c r="A7" s="188" t="str">
        <x:v>S03</x:v>
      </x:c>
      <x:c r="B7" s="188" t="str">
        <x:v>A</x:v>
      </x:c>
      <x:c r="C7" s="188" t="n">
        <x:v>2025</x:v>
      </x:c>
      <x:c r="D7" s="188" t="str">
        <x:v>Continuum: Efficient and Robust Multi-Turn LLM Agent Scheduling with KV Cache Time-to-Live</x:v>
      </x:c>
      <x:c r="E7" s="188" t="str">
        <x:v>Hanchen Li; Runyuan He; Qiuyang Mang; Qizheng Zhang; Huanzhi Mao; Xiaokun Chen; Hangrui Zhou; Alvin Cheung; Joseph Gonzalez; Ion Stoica</x:v>
      </x:c>
      <x:c r="F7" s="188" t="str">
        <x:v>工具停顿期间TTL保留与Agent级调度基线</x:v>
      </x:c>
      <x:c r="G7" s="188" t="str">
        <x:v>TTL保留与Agent调度</x:v>
      </x:c>
      <x:c r="H7" s="188" t="str">
        <x:v>SWE-Bench、BFCL、OpenHands等多轮Agent</x:v>
      </x:c>
      <x:c r="I7" s="188" t="str">
        <x:v>跨轮精确前缀</x:v>
      </x:c>
      <x:c r="J7" s="188" t="str">
        <x:v>GPU保留，可结合卸载</x:v>
      </x:c>
      <x:c r="K7" s="188" t="str">
        <x:v>综合重载、重计算与排队成本选择TTL；报告平均作业完成时间改善超过8倍</x:v>
      </x:c>
      <x:c r="L7" s="188" t="str">
        <x:v>固定/预测TTL与GPU驻留主线已有强基线；未专门研究消费级单机三层价值密度边界</x:v>
      </x:c>
      <x:c r="M7" s="188" t="str">
        <x:v>G3 联合层级决策</x:v>
      </x:c>
      <x:c r="N7" s="203" t="str">
        <x:v>https://arxiv.org/abs/2511.02230</x:v>
      </x:c>
      <x:c r="O7" s="203" t="str"/>
    </x:row>
    <x:row r="8" ht="70" customHeight="1">
      <x:c r="A8" s="188" t="str">
        <x:v>S04</x:v>
      </x:c>
      <x:c r="B8" s="188" t="str">
        <x:v>A</x:v>
      </x:c>
      <x:c r="C8" s="188" t="n">
        <x:v>2026</x:v>
      </x:c>
      <x:c r="D8" s="188" t="str">
        <x:v>ThunderAgent: A Simple, Fast and Program-Aware Agentic Inference System</x:v>
      </x:c>
      <x:c r="E8" s="188" t="str">
        <x:v>Hao Kang; Ziyang Li; Weili Xu; Xinyu Yang; Yinfang Chen; Junxiong Wang; Beidi Chen; Tushar Krishna; Chenfeng Xu; Simran Arora</x:v>
      </x:c>
      <x:c r="F8" s="188" t="str">
        <x:v>程序感知的端到端Agent推理与工具资源调度</x:v>
      </x:c>
      <x:c r="G8" s="188" t="str">
        <x:v>程序感知联合调度</x:v>
      </x:c>
      <x:c r="H8" s="188" t="str">
        <x:v>编码、路由、科学发现Agent</x:v>
      </x:c>
      <x:c r="I8" s="188" t="str">
        <x:v>跨轮精确前缀与程序状态</x:v>
      </x:c>
      <x:c r="J8" s="188" t="str">
        <x:v>集群GPU/主机资源，分析卸载开销</x:v>
      </x:c>
      <x:c r="K8" s="188" t="str">
        <x:v>跨Agent场景报告1.5–3.6倍服务吞吐改善，并开源系统实现</x:v>
      </x:c>
      <x:c r="L8" s="188" t="str">
        <x:v>程序感知调度主线已被覆盖；评估偏多GPU/集群，消费级单机约束仍不同</x:v>
      </x:c>
      <x:c r="M8" s="188" t="str">
        <x:v>G2 有效复用鸿沟</x:v>
      </x:c>
      <x:c r="N8" s="203" t="str">
        <x:v>https://arxiv.org/abs/2602.13692</x:v>
      </x:c>
      <x:c r="O8" s="203" t="str">
        <x:v>https://github.com/ThunderAgent-org/ThunderAgent</x:v>
      </x:c>
    </x:row>
    <x:row r="9" ht="70" customHeight="1">
      <x:c r="A9" s="188" t="str">
        <x:v>S05</x:v>
      </x:c>
      <x:c r="B9" s="188" t="str">
        <x:v>A</x:v>
      </x:c>
      <x:c r="C9" s="188" t="n">
        <x:v>2026</x:v>
      </x:c>
      <x:c r="D9" s="188" t="str">
        <x:v>Pythia: Exploiting Workflow Predictability for Efficient Agent-Native LLM Serving</x:v>
      </x:c>
      <x:c r="E9" s="188" t="str">
        <x:v>Shan Yu; Junyi Shu; Yuanjiang Ni; Kun Qian; Xue Li; Yang Wang; Jinyuan Zhang; Ziyi Xu; Shuo Yang; Lingjun Zhu; Ennan Zhai; Qingda Lu; Jiarong Xing; Youyou Lu; Xin Jin; Xuanzhe Liu; Harry Xu</x:v>
      </x:c>
      <x:c r="F9" s="188" t="str">
        <x:v>多Agent工作流语义驱动的缓存、调度与扩缩容</x:v>
      </x:c>
      <x:c r="G9" s="188" t="str">
        <x:v>工作流感知Agent推理</x:v>
      </x:c>
      <x:c r="H9" s="188" t="str">
        <x:v>生产Agent平台与内部多Agent编码助手</x:v>
      </x:c>
      <x:c r="I9" s="188" t="str">
        <x:v>跨Agent/跨节点工作流前缀</x:v>
      </x:c>
      <x:c r="J9" s="188" t="str">
        <x:v>多实例服务层</x:v>
      </x:c>
      <x:c r="K9" s="188" t="str">
        <x:v>揭示多Agent专用Prompt导致低命中与资源争用，并利用工作流可预测性优化</x:v>
      </x:c>
      <x:c r="L9" s="188" t="str">
        <x:v>说明单Agent追加型轨迹不能代表多Agent；本项目应先限定单Agent/单机边界</x:v>
      </x:c>
      <x:c r="M9" s="188" t="str">
        <x:v>G8 适用边界</x:v>
      </x:c>
      <x:c r="N9" s="203" t="str">
        <x:v>https://arxiv.org/abs/2604.25899</x:v>
      </x:c>
      <x:c r="O9" s="203" t="str"/>
    </x:row>
    <x:row r="10" ht="70" customHeight="1">
      <x:c r="A10" s="188" t="str">
        <x:v>S06</x:v>
      </x:c>
      <x:c r="B10" s="188" t="str">
        <x:v>A</x:v>
      </x:c>
      <x:c r="C10" s="188" t="n">
        <x:v>2026</x:v>
      </x:c>
      <x:c r="D10" s="188" t="str">
        <x:v>Agentic AI Workload Characteristics</x:v>
      </x:c>
      <x:c r="E10" s="188" t="str">
        <x:v>Yichao Yuan; Ankita Nayak; Souvik Kundu; Nishil Talati</x:v>
      </x:c>
      <x:c r="F10" s="188" t="str">
        <x:v>跨基准Agent工作负载的端到端特征与理想缓存分析</x:v>
      </x:c>
      <x:c r="G10" s="188" t="str">
        <x:v>Agent工作负载刻画</x:v>
      </x:c>
      <x:c r="H10" s="188" t="str">
        <x:v>五类Agent基准、Gemma与Qwen配置</x:v>
      </x:c>
      <x:c r="I10" s="188" t="str">
        <x:v>多轮精确前缀</x:v>
      </x:c>
      <x:c r="J10" s="188" t="str">
        <x:v>理想/无抖动缓存条件为主</x:v>
      </x:c>
      <x:c r="K10" s="188" t="str">
        <x:v>表明有效上下文缓存后多数输入Token可复用，执行转为Decode主导并依赖长寿命状态</x:v>
      </x:c>
      <x:c r="L10" s="188" t="str">
        <x:v>理想缓存结果不能直接外推到32GB显存和真实并发；正好支持测量理想到有效复用差距</x:v>
      </x:c>
      <x:c r="M10" s="188" t="str">
        <x:v>G2 有效复用鸿沟</x:v>
      </x:c>
      <x:c r="N10" s="203" t="str">
        <x:v>https://arxiv.org/abs/2605.26297</x:v>
      </x:c>
      <x:c r="O10" s="203" t="str"/>
    </x:row>
    <x:row r="11" ht="70" customHeight="1">
      <x:c r="A11" s="188" t="str">
        <x:v>S07</x:v>
      </x:c>
      <x:c r="B11" s="188" t="str">
        <x:v>A</x:v>
      </x:c>
      <x:c r="C11" s="188" t="n">
        <x:v>2026</x:v>
      </x:c>
      <x:c r="D11" s="188" t="str">
        <x:v>CONCUR: High-Throughput Agentic Batch Inference of LLM via Congestion-Based Concurrency Control</x:v>
      </x:c>
      <x:c r="E11" s="188" t="str">
        <x:v>Qiaoling Chen; Zhisheng Ye; Tian Tang; Peng Sun; Boyu Tian; Guoteng Wang; Shenggui Li; Yonggang Wen; Zhenhua Han; Tianwei Zhang</x:v>
      </x:c>
      <x:c r="F11" s="188" t="str">
        <x:v>Agent级准入控制与中阶段缓存抖动</x:v>
      </x:c>
      <x:c r="G11" s="188" t="str">
        <x:v>并发准入与抖动控制</x:v>
      </x:c>
      <x:c r="H11" s="188" t="str">
        <x:v>大模型Agent批推理</x:v>
      </x:c>
      <x:c r="I11" s="188" t="str">
        <x:v>Agent级持续上下文</x:v>
      </x:c>
      <x:c r="J11" s="188" t="str">
        <x:v>GPU缓存压力控制</x:v>
      </x:c>
      <x:c r="K11" s="188" t="str">
        <x:v>识别middle-phase thrashing；Qwen3-32B最高4.09倍、DeepSeek-V3最高1.9倍吞吐改善</x:v>
      </x:c>
      <x:c r="L11" s="188" t="str">
        <x:v>并发控制已形成独立方向；本项目应把并发作为压力维度而非主要创新点</x:v>
      </x:c>
      <x:c r="M11" s="188" t="str">
        <x:v>G2 有效复用鸿沟</x:v>
      </x:c>
      <x:c r="N11" s="203" t="str">
        <x:v>https://arxiv.org/abs/2601.22705</x:v>
      </x:c>
      <x:c r="O11" s="203" t="str"/>
    </x:row>
    <x:row r="12" ht="70" customHeight="1">
      <x:c r="A12" s="188" t="str">
        <x:v>S08</x:v>
      </x:c>
      <x:c r="B12" s="188" t="str">
        <x:v>B</x:v>
      </x:c>
      <x:c r="C12" s="188" t="n">
        <x:v>2026</x:v>
      </x:c>
      <x:c r="D12" s="188" t="str">
        <x:v>KAIROS: Stateful, Context-Aware Power-Efficient Agentic Inference Serving</x:v>
      </x:c>
      <x:c r="E12" s="188" t="str">
        <x:v>Yichao Yuan; Mosharaf Chowdhury; Nishil Talati</x:v>
      </x:c>
      <x:c r="F12" s="188" t="str">
        <x:v>上下文感知功耗、并发与路由联合控制</x:v>
      </x:c>
      <x:c r="G12" s="188" t="str">
        <x:v>功耗感知Agent推理</x:v>
      </x:c>
      <x:c r="H12" s="188" t="str">
        <x:v>软件与数据工程Agent任务</x:v>
      </x:c>
      <x:c r="I12" s="188" t="str">
        <x:v>Agent级长寿命上下文</x:v>
      </x:c>
      <x:c r="J12" s="188" t="str">
        <x:v>GPU频率/并发/多实例</x:v>
      </x:c>
      <x:c r="K12" s="188" t="str">
        <x:v>在满足性能目标时平均降低27%功耗，并避免内存抖动</x:v>
      </x:c>
      <x:c r="L12" s="188" t="str">
        <x:v>功耗不是本阶段核心；但应记录RTX 5090能耗作为次级成本指标</x:v>
      </x:c>
      <x:c r="M12" s="188" t="str">
        <x:v>G4 成功任务成本</x:v>
      </x:c>
      <x:c r="N12" s="203" t="str">
        <x:v>https://arxiv.org/abs/2604.16682</x:v>
      </x:c>
      <x:c r="O12" s="203" t="str"/>
    </x:row>
    <x:row r="13" ht="70" customHeight="1">
      <x:c r="A13" s="188" t="str">
        <x:v>S09</x:v>
      </x:c>
      <x:c r="B13" s="188" t="str">
        <x:v>A</x:v>
      </x:c>
      <x:c r="C13" s="188" t="n">
        <x:v>2026</x:v>
      </x:c>
      <x:c r="D13" s="188" t="str">
        <x:v>Token Reduction Is Not Cost Reduction</x:v>
      </x:c>
      <x:c r="E13" s="188" t="str">
        <x:v>Sarel Weinberger; Amir Hozez</x:v>
      </x:c>
      <x:c r="F13" s="188" t="str">
        <x:v>证明Token减少不等于端到端成本减少</x:v>
      </x:c>
      <x:c r="G13" s="188" t="str">
        <x:v>成功任务成本评测</x:v>
      </x:c>
      <x:c r="H13" s="188" t="str">
        <x:v>Claude Code受控编码任务</x:v>
      </x:c>
      <x:c r="I13" s="188" t="str">
        <x:v>Provider Prompt Cache与Agent轨迹</x:v>
      </x:c>
      <x:c r="J13" s="188" t="str">
        <x:v>API缓存计费层</x:v>
      </x:c>
      <x:c r="K13" s="188" t="str">
        <x:v>工具输出Token减少38.4%时，账单成本反增6.8%；建议使用每个成功任务的成本</x:v>
      </x:c>
      <x:c r="L13" s="188" t="str">
        <x:v>面向API账单而非本地KV层级；但直接改变本项目终局指标设计</x:v>
      </x:c>
      <x:c r="M13" s="188" t="str">
        <x:v>G4 成功任务成本</x:v>
      </x:c>
      <x:c r="N13" s="203" t="str">
        <x:v>https://arxiv.org/abs/2607.12161</x:v>
      </x:c>
      <x:c r="O13" s="203" t="str"/>
    </x:row>
    <x:row r="14" ht="70" customHeight="1">
      <x:c r="A14" s="188" t="str">
        <x:v>S10</x:v>
      </x:c>
      <x:c r="B14" s="188" t="str">
        <x:v>A</x:v>
      </x:c>
      <x:c r="C14" s="188" t="n">
        <x:v>2026</x:v>
      </x:c>
      <x:c r="D14" s="188" t="str">
        <x:v>Prompt-Induced Waste in Coding Agents: Reasoning, Effort, Harness Design, and End-to-End Cost</x:v>
      </x:c>
      <x:c r="E14" s="188" t="str">
        <x:v>Sarel Weinberger; Amir Hozez</x:v>
      </x:c>
      <x:c r="F14" s="188" t="str">
        <x:v>提示语义、推理强度与Harness对成本/成功率的交互影响</x:v>
      </x:c>
      <x:c r="G14" s="188" t="str">
        <x:v>成功任务成本评测</x:v>
      </x:c>
      <x:c r="H14" s="188" t="str">
        <x:v>受控Coding Agent实验</x:v>
      </x:c>
      <x:c r="I14" s="188" t="str">
        <x:v>Agent轨迹和缓存计数</x:v>
      </x:c>
      <x:c r="J14" s="188" t="str">
        <x:v>端到端系统/Provider层</x:v>
      </x:c>
      <x:c r="K14" s="188" t="str">
        <x:v>指出Token与Cache计数只是轨迹测量，需控制Prompt、Harness与推理强度并报告成功率</x:v>
      </x:c>
      <x:c r="L14" s="188" t="str">
        <x:v>非KV系统机制；但要求实验固定Prompt/Harness并报告任务正确性</x:v>
      </x:c>
      <x:c r="M14" s="188" t="str">
        <x:v>G4 成功任务成本</x:v>
      </x:c>
      <x:c r="N14" s="203" t="str">
        <x:v>https://arxiv.org/abs/2608.01347</x:v>
      </x:c>
      <x:c r="O14" s="203" t="str"/>
    </x:row>
    <x:row r="15" ht="70" customHeight="1">
      <x:c r="A15" s="188" t="str">
        <x:v>S11</x:v>
      </x:c>
      <x:c r="B15" s="188" t="str">
        <x:v>B</x:v>
      </x:c>
      <x:c r="C15" s="188" t="n">
        <x:v>2026</x:v>
      </x:c>
      <x:c r="D15" s="188" t="str">
        <x:v>Workload-Aware Caching for Multi-Agent Systems</x:v>
      </x:c>
      <x:c r="E15" s="188" t="str">
        <x:v>Anas Mohamed; Kaizan Haque; Azal Ahmad Khan; Chetan Sharma; Shuwen Ge; Ali Anwar</x:v>
      </x:c>
      <x:c r="F15" s="188" t="str">
        <x:v>DAG中间结果的重计算成本与依赖感知价值评分</x:v>
      </x:c>
      <x:c r="G15" s="188" t="str">
        <x:v>多Agent中间结果缓存</x:v>
      </x:c>
      <x:c r="H15" s="188" t="str">
        <x:v>三类多Agent基准</x:v>
      </x:c>
      <x:c r="I15" s="188" t="str">
        <x:v>DAG中间结果，不是KV张量</x:v>
      </x:c>
      <x:c r="J15" s="188" t="str">
        <x:v>有限容量内容缓存</x:v>
      </x:c>
      <x:c r="K15" s="188" t="str">
        <x:v>价值函数结合重计算成本、依赖数和调用频率；相对无缓存最高降延迟64.7%</x:v>
      </x:c>
      <x:c r="L15" s="188" t="str">
        <x:v>缓存对象不是KV；说明“价值感知缓存”概念已有，需要在KV层明确不同决策变量与正确性</x:v>
      </x:c>
      <x:c r="M15" s="188" t="str">
        <x:v>G3 联合层级决策</x:v>
      </x:c>
      <x:c r="N15" s="203" t="str">
        <x:v>https://arxiv.org/abs/2607.20495</x:v>
      </x:c>
      <x:c r="O15" s="203" t="str"/>
    </x:row>
    <x:row r="16" ht="70" customHeight="1">
      <x:c r="A16" s="188" t="str">
        <x:v>S12</x:v>
      </x:c>
      <x:c r="B16" s="188" t="str">
        <x:v>A</x:v>
      </x:c>
      <x:c r="C16" s="188" t="n">
        <x:v>2026</x:v>
      </x:c>
      <x:c r="D16" s="188" t="str">
        <x:v>Benchmarking LLM Serving Systems for Agentic AI Workloads with XPerf</x:v>
      </x:c>
      <x:c r="E16" s="188" t="str">
        <x:v>Michael Wang; Yikang Yue; Shaobo Li; Yirui Eric Zhou; Chen Wang; Jian Huang</x:v>
      </x:c>
      <x:c r="F16" s="188" t="str">
        <x:v>Agent工作负载Trace采集、合成与可复现重放框架</x:v>
      </x:c>
      <x:c r="G16" s="188" t="str">
        <x:v>Trace重放与系统评测</x:v>
      </x:c>
      <x:c r="H16" s="188" t="str">
        <x:v>八类Agent应用，含Coding</x:v>
      </x:c>
      <x:c r="I16" s="188" t="str">
        <x:v>精确Token与输出轨迹重放</x:v>
      </x:c>
      <x:c r="J16" s="188" t="str">
        <x:v>系统与硬件剖析</x:v>
      </x:c>
      <x:c r="K16" s="188" t="str">
        <x:v>提供细粒度轨迹重放和硬件/系统指标，用于比较不同推理系统</x:v>
      </x:c>
      <x:c r="L16" s="188" t="str">
        <x:v>Trace Replay本身不足以作为创新；本项目应复用/对比而非重新声称首创</x:v>
      </x:c>
      <x:c r="M16" s="188" t="str">
        <x:v>G8 适用边界</x:v>
      </x:c>
      <x:c r="N16" s="203" t="str">
        <x:v>https://arxiv.org/abs/2608.20370</x:v>
      </x:c>
      <x:c r="O16" s="203" t="str"/>
    </x:row>
    <x:row r="17" ht="70" customHeight="1">
      <x:c r="A17" s="188" t="str">
        <x:v>S13</x:v>
      </x:c>
      <x:c r="B17" s="188" t="str">
        <x:v>A</x:v>
      </x:c>
      <x:c r="C17" s="188" t="n">
        <x:v>2026</x:v>
      </x:c>
      <x:c r="D17" s="188" t="str">
        <x:v>Not All Tokens Are Worth Caching: Learning Semantic-Aware Eviction for LLM Prefix Caches</x:v>
      </x:c>
      <x:c r="E17" s="188" t="str">
        <x:v>Shaoke Fang; Ziang Li; Wenfei Wu; Jiatong Ji; Qingsong Liu; Ruizhi Pu</x:v>
      </x:c>
      <x:c r="F17" s="188" t="str">
        <x:v>Token语义类型驱动的自适应多队列前缀淘汰</x:v>
      </x:c>
      <x:c r="G17" s="188" t="str">
        <x:v>语义感知前缀淘汰</x:v>
      </x:c>
      <x:c r="H17" s="188" t="str">
        <x:v>异构多轮与模板化请求</x:v>
      </x:c>
      <x:c r="I17" s="188" t="str">
        <x:v>精确前缀块</x:v>
      </x:c>
      <x:c r="J17" s="188" t="str">
        <x:v>GPU前缀缓存</x:v>
      </x:c>
      <x:c r="K17" s="188" t="str">
        <x:v>不同Token类型复用率差异最高756倍；TTFT相对生产式基线改善1.4–2.7倍</x:v>
      </x:c>
      <x:c r="L17" s="188" t="str">
        <x:v>“语义/Token类型感知淘汰”已拥挤；本项目不应把语义评分单独作为创新</x:v>
      </x:c>
      <x:c r="M17" s="188" t="str">
        <x:v>G5 Prompt与语义布局</x:v>
      </x:c>
      <x:c r="N17" s="203" t="str">
        <x:v>https://arxiv.org/abs/2605.18825</x:v>
      </x:c>
      <x:c r="O17" s="203" t="str"/>
    </x:row>
    <x:row r="18" ht="70" customHeight="1">
      <x:c r="A18" s="188" t="str">
        <x:v>S14</x:v>
      </x:c>
      <x:c r="B18" s="188" t="str">
        <x:v>B</x:v>
      </x:c>
      <x:c r="C18" s="188" t="n">
        <x:v>2026</x:v>
      </x:c>
      <x:c r="D18" s="188" t="str">
        <x:v>Keeping the Cache Warm Pays: Keepalive Economics for Agentic Workloads</x:v>
      </x:c>
      <x:c r="E18" s="188" t="str">
        <x:v>Maxim Khailo</x:v>
      </x:c>
      <x:c r="F18" s="188" t="str">
        <x:v>Provider API缓存TTL与客户端Keepalive经济性</x:v>
      </x:c>
      <x:c r="G18" s="188" t="str">
        <x:v>Provider缓存Keepalive</x:v>
      </x:c>
      <x:c r="H18" s="188" t="str">
        <x:v>多Provider Agent暂停/恢复请求</x:v>
      </x:c>
      <x:c r="I18" s="188" t="str">
        <x:v>Provider端精确前缀</x:v>
      </x:c>
      <x:c r="J18" s="188" t="str">
        <x:v>API供应商缓存层</x:v>
      </x:c>
      <x:c r="K18" s="188" t="str">
        <x:v>分析Keepalive间隔、TTL和重算成本的盈亏边界，并报告暂停后请求成本下降</x:v>
      </x:c>
      <x:c r="L18" s="188" t="str">
        <x:v>适用于封闭API，不能替代本地GPU/DRAM/NVMe管理；可作为经济学对照</x:v>
      </x:c>
      <x:c r="M18" s="188" t="str">
        <x:v>G4 成功任务成本</x:v>
      </x:c>
      <x:c r="N18" s="203" t="str">
        <x:v>https://arxiv.org/abs/2607.19214</x:v>
      </x:c>
      <x:c r="O18" s="203" t="str"/>
    </x:row>
    <x:row r="19" ht="70" customHeight="1">
      <x:c r="A19" s="188" t="str">
        <x:v>S15</x:v>
      </x:c>
      <x:c r="B19" s="188" t="str">
        <x:v>B</x:v>
      </x:c>
      <x:c r="C19" s="188" t="n">
        <x:v>2026</x:v>
      </x:c>
      <x:c r="D19" s="188" t="str">
        <x:v>HyMCache: A KV Cache Framework for Multi-Turn LLM Serving with CXL-Hybrid Memory</x:v>
      </x:c>
      <x:c r="E19" s="188" t="str">
        <x:v>Hakbeom Jang; Inho Song; Sam H. Noh; Jongryool Kim</x:v>
      </x:c>
      <x:c r="F19" s="188" t="str">
        <x:v>CXL混合内存与SSD支撑的多轮KV复用</x:v>
      </x:c>
      <x:c r="G19" s="188" t="str">
        <x:v>CXL/SSD分层KV缓存</x:v>
      </x:c>
      <x:c r="H19" s="188" t="str">
        <x:v>长上下文、多轮与Agent请求</x:v>
      </x:c>
      <x:c r="I19" s="188" t="str">
        <x:v>跨轮精确前缀</x:v>
      </x:c>
      <x:c r="J19" s="188" t="str">
        <x:v>CXL设备DRAM＋SSD</x:v>
      </x:c>
      <x:c r="K19" s="188" t="str">
        <x:v>真实CXL-HM原型；相同DRAM预算下单节点相对LMCache报告3.0倍改善</x:v>
      </x:c>
      <x:c r="L19" s="188" t="str">
        <x:v>需要CXL专用硬件，不适用于当前RTX 5090主机；进一步压缩通用分层存储的创新空间</x:v>
      </x:c>
      <x:c r="M19" s="188" t="str">
        <x:v>G3 联合层级决策</x:v>
      </x:c>
      <x:c r="N19" s="203" t="str">
        <x:v>https://arxiv.org/abs/2607.18141</x:v>
      </x:c>
      <x:c r="O19" s="203" t="str"/>
    </x:row>
  </x:sheetData>
  <x:mergeCells>
    <x:mergeCell ref="A1:O1"/>
    <x:mergeCell ref="A2:O2"/>
  </x:mergeCells>
  <x:pageMargins left="0.7" right="0.7" top="0.75" bottom="0.75" header="0.3" footer="0.3"/>
  <x:tableParts count="1">
    <x:tablePart xmlns:r="http://schemas.openxmlformats.org/officeDocument/2006/relationships" r:id="Rf5d785c177dd4c04"/>
  </x:tableParts>
</x:worksheet>
</file>