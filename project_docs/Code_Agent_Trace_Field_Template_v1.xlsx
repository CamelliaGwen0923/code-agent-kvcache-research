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e4c7361c2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021e3107ac34631"/>
    <x:sheet xmlns:r="http://schemas.openxmlformats.org/officeDocument/2006/relationships" name="RunConfig" sheetId="2" r:id="Rb85fea7b1dce44b3"/>
    <x:sheet xmlns:r="http://schemas.openxmlformats.org/officeDocument/2006/relationships" name="Requests" sheetId="3" r:id="R44d5c0cfb7fa4c1d"/>
    <x:sheet xmlns:r="http://schemas.openxmlformats.org/officeDocument/2006/relationships" name="PromptSegments" sheetId="4" r:id="R6ae624e6bd3a425d"/>
    <x:sheet xmlns:r="http://schemas.openxmlformats.org/officeDocument/2006/relationships" name="CacheEvents" sheetId="5" r:id="Re9ac4a9bf1124636"/>
    <x:sheet xmlns:r="http://schemas.openxmlformats.org/officeDocument/2006/relationships" name="AgentSteps" sheetId="6" r:id="R1b762e9245c04684"/>
    <x:sheet xmlns:r="http://schemas.openxmlformats.org/officeDocument/2006/relationships" name="FileChanges" sheetId="7" r:id="R5b6980f9003e458b"/>
    <x:sheet xmlns:r="http://schemas.openxmlformats.org/officeDocument/2006/relationships" name="QA_Summary" sheetId="8" r:id="Rde22846c82ae4217"/>
    <x:sheet xmlns:r="http://schemas.openxmlformats.org/officeDocument/2006/relationships" name="MetricDictionary" sheetId="9" r:id="R65b792f03eef4904"/>
    <x:sheet xmlns:r="http://schemas.openxmlformats.org/officeDocument/2006/relationships" name="FieldDictionary" sheetId="10" r:id="R4ae8aecb84414469"/>
    <x:sheet xmlns:r="http://schemas.openxmlformats.org/officeDocument/2006/relationships" name="ControlledVocab" sheetId="11" r:id="Rc8a07b7aba76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@"/>
    <x:numFmt numFmtId="202" formatCode="yyyy-mm-dd hh:mm:ss"/>
    <x:numFmt numFmtId="203" formatCode="#,##0"/>
    <x:numFmt numFmtId="204" formatCode="0.00"/>
    <x:numFmt numFmtId="205" formatCode="0.0%"/>
  </x:numFmts>
  <x:fonts count="10">
    <x:font>
      <x:sz val="11"/>
      <x:name val="Carlito"/>
    </x:font>
    <x:font>
      <x:sz val="10"/>
      <x:color rgb="FF1F2937"/>
      <x:name val="Noto Sans CJK SC"/>
    </x:font>
    <x:font>
      <x:b/>
      <x:sz val="20"/>
      <x:color rgb="FFFFFFFF"/>
      <x:name val="Noto Sans CJK SC"/>
    </x:font>
    <x:font>
      <x:b/>
      <x:sz val="11"/>
      <x:color rgb="FF17365D"/>
      <x:name val="Noto Sans CJK SC"/>
    </x:font>
    <x:font>
      <x:b/>
      <x:sz val="10"/>
      <x:color rgb="FF17365D"/>
      <x:name val="Noto Sans CJK SC"/>
    </x:font>
    <x:font>
      <x:b/>
      <x:sz val="10"/>
      <x:color rgb="FF1F2937"/>
      <x:name val="Noto Sans CJK SC"/>
    </x:font>
    <x:font>
      <x:b/>
      <x:sz val="12"/>
      <x:color rgb="FFFFFFFF"/>
      <x:name val="Noto Sans CJK SC"/>
    </x:font>
    <x:font>
      <x:b/>
      <x:sz val="10"/>
      <x:color rgb="FFFFFFFF"/>
      <x:name val="Noto Sans CJK SC"/>
    </x:font>
    <x:font>
      <x:b/>
      <x:sz val="14"/>
      <x:color rgb="FF1F2937"/>
      <x:name val="Noto Sans CJK SC"/>
    </x:font>
    <x:font>
      <x:sz val="9"/>
      <x:color rgb="FF1F2937"/>
      <x:name val="Noto Sans CJK SC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9E0E7"/>
      </x:left>
      <x:right style="thin">
        <x:color rgb="FFD9E0E7"/>
      </x:right>
      <x:top style="thin">
        <x:color rgb="FFD9E0E7"/>
      </x:top>
      <x:bottom style="thin">
        <x:color rgb="FFD9E0E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200" fontId="1" fillId="0" borderId="1" xfId="0" applyNumberFormat="1" applyFont="1" applyFill="1" applyBorder="1"/>
    <x:xf numFmtId="200" fontId="1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6" borderId="1" xfId="0" applyNumberFormat="1" applyFont="1" applyFill="1" applyBorder="1"/>
    <x:xf numFmtId="0" fontId="1" fillId="7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2" fontId="1" fillId="5" borderId="1" xfId="0" applyNumberFormat="1" applyFont="1" applyFill="1" applyBorder="1" applyAlignment="1">
      <x:alignment vertical="center" wrapText="1"/>
    </x:xf>
    <x:xf numFmtId="203" fontId="1" fillId="5" borderId="1" xfId="0" applyNumberFormat="1" applyFont="1" applyFill="1" applyBorder="1" applyAlignment="1">
      <x:alignment vertical="center" wrapText="1"/>
    </x:xf>
    <x:xf numFmtId="204" fontId="1" fillId="5" borderId="1" xfId="0" applyNumberFormat="1" applyFont="1" applyFill="1" applyBorder="1" applyAlignment="1">
      <x:alignment vertical="center" wrapText="1"/>
    </x:xf>
    <x:xf numFmtId="205" fontId="1" fillId="5" borderId="1" xfId="0" applyNumberFormat="1" applyFont="1" applyFill="1" applyBorder="1" applyAlignment="1">
      <x:alignment vertical="center" wrapText="1"/>
    </x:xf>
    <x:xf numFmtId="203" fontId="1" fillId="6" borderId="1" xfId="0" applyNumberFormat="1" applyFont="1" applyFill="1" applyBorder="1" applyAlignment="1">
      <x:alignment vertical="center" wrapText="1"/>
    </x:xf>
    <x:xf numFmtId="205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4" fontId="1" fillId="6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5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left" vertical="center"/>
    </x:xf>
    <x:xf numFmtId="205" fontId="1" fillId="0" borderId="0" xfId="0" applyNumberFormat="1" applyFont="1" applyFill="1" applyBorder="1"/>
    <x:xf numFmtId="205" fontId="1" fillId="5" borderId="0" xfId="0" applyNumberFormat="1" applyFont="1" applyFill="1" applyBorder="1"/>
    <x:xf numFmtId="204" fontId="1" fillId="0" borderId="0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left" vertical="center"/>
    </x:xf>
    <x:xf numFmtId="205" fontId="1" fillId="0" borderId="1" xfId="0" applyNumberFormat="1" applyFont="1" applyFill="1" applyBorder="1"/>
    <x:xf numFmtId="205" fontId="1" fillId="5" borderId="1" xfId="0" applyNumberFormat="1" applyFont="1" applyFill="1" applyBorder="1"/>
    <x:xf numFmtId="204" fontId="1" fillId="0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205" fontId="1" fillId="0" borderId="1" xfId="0" applyNumberFormat="1" applyFont="1" applyFill="1" applyBorder="1" applyAlignment="1">
      <x:alignment wrapText="1"/>
    </x:xf>
    <x:xf numFmtId="205" fontId="1" fillId="5" borderId="1" xfId="0" applyNumberFormat="1" applyFont="1" applyFill="1" applyBorder="1" applyAlignment="1">
      <x:alignment wrapText="1"/>
    </x:xf>
    <x:xf numFmtId="204" fontId="1" fillId="0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205" fontId="1" fillId="0" borderId="1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BF9000"/>
      </x:font>
      <x:fill>
        <x:patternFill patternType="solid">
          <x:bgColor rgb="FFFFF2CC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2a063675644a9" /><Relationship Type="http://schemas.openxmlformats.org/officeDocument/2006/relationships/theme" Target="/xl/theme/theme1.xml" Id="Rb996e02754134bda" /><Relationship Type="http://schemas.openxmlformats.org/officeDocument/2006/relationships/sharedStrings" Target="/xl/sharedStrings.xml" Id="R63dfa9475ec84ad8" /><Relationship Type="http://schemas.openxmlformats.org/officeDocument/2006/relationships/worksheet" Target="/xl/worksheets/sheet1.xml" Id="Rd021e3107ac34631" /><Relationship Type="http://schemas.openxmlformats.org/officeDocument/2006/relationships/worksheet" Target="/xl/worksheets/sheet2.xml" Id="Rb85fea7b1dce44b3" /><Relationship Type="http://schemas.openxmlformats.org/officeDocument/2006/relationships/worksheet" Target="/xl/worksheets/sheet3.xml" Id="R44d5c0cfb7fa4c1d" /><Relationship Type="http://schemas.openxmlformats.org/officeDocument/2006/relationships/worksheet" Target="/xl/worksheets/sheet4.xml" Id="R6ae624e6bd3a425d" /><Relationship Type="http://schemas.openxmlformats.org/officeDocument/2006/relationships/worksheet" Target="/xl/worksheets/sheet5.xml" Id="Re9ac4a9bf1124636" /><Relationship Type="http://schemas.openxmlformats.org/officeDocument/2006/relationships/worksheet" Target="/xl/worksheets/sheet6.xml" Id="R1b762e9245c04684" /><Relationship Type="http://schemas.openxmlformats.org/officeDocument/2006/relationships/worksheet" Target="/xl/worksheets/sheet7.xml" Id="R5b6980f9003e458b" /><Relationship Type="http://schemas.openxmlformats.org/officeDocument/2006/relationships/worksheet" Target="/xl/worksheets/sheet8.xml" Id="Rde22846c82ae4217" /><Relationship Type="http://schemas.openxmlformats.org/officeDocument/2006/relationships/worksheet" Target="/xl/worksheets/sheet9.xml" Id="R65b792f03eef4904" /><Relationship Type="http://schemas.openxmlformats.org/officeDocument/2006/relationships/worksheet" Target="/xl/worksheets/sheet10.xml" Id="R4ae8aecb84414469" /><Relationship Type="http://schemas.openxmlformats.org/officeDocument/2006/relationships/worksheet" Target="/xl/worksheets/sheet11.xml" Id="Rc8a07b7aba76412f" /></Relationships>
</file>

<file path=xl/tables/table1.xml><?xml version="1.0" encoding="utf-8"?>
<x:table xmlns:x="http://schemas.openxmlformats.org/spreadsheetml/2006/main" id="1" name="RunConfigTable" displayName="RunConfigTable" ref="A1:AZ2" headerRowCount="1" totalsRowCount="0" totalsRowShown="0">
  <x:autoFilter ref="A1:AZ2"/>
  <x:tableColumns count="52">
    <x:tableColumn id="1" name="record_kind"/>
    <x:tableColumn id="2" name="schema_version"/>
    <x:tableColumn id="3" name="experiment_run_id"/>
    <x:tableColumn id="4" name="dataset_version"/>
    <x:tableColumn id="5" name="split_id"/>
    <x:tableColumn id="6" name="trace_schema_version"/>
    <x:tableColumn id="7" name="prompt_layout_version"/>
    <x:tableColumn id="8" name="code_commit"/>
    <x:tableColumn id="9" name="created_utc"/>
    <x:tableColumn id="10" name="random_seed"/>
    <x:tableColumn id="11" name="repetition_id"/>
    <x:tableColumn id="12" name="warmup_request_count"/>
    <x:tableColumn id="13" name="measurement_window_start_utc"/>
    <x:tableColumn id="14" name="measurement_window_end_utc"/>
    <x:tableColumn id="15" name="model_id"/>
    <x:tableColumn id="16" name="model_revision"/>
    <x:tableColumn id="17" name="tokenizer_id"/>
    <x:tableColumn id="18" name="tokenizer_revision"/>
    <x:tableColumn id="19" name="adapter_id"/>
    <x:tableColumn id="20" name="attention_type"/>
    <x:tableColumn id="21" name="position_encoding"/>
    <x:tableColumn id="22" name="rope_config_hash"/>
    <x:tableColumn id="23" name="kv_dtype"/>
    <x:tableColumn id="24" name="kv_layout_version"/>
    <x:tableColumn id="25" name="engine_name"/>
    <x:tableColumn id="26" name="engine_version"/>
    <x:tableColumn id="27" name="kernel_version"/>
    <x:tableColumn id="28" name="cuda_version"/>
    <x:tableColumn id="29" name="driver_version"/>
    <x:tableColumn id="30" name="gpu_model"/>
    <x:tableColumn id="31" name="gpu_count"/>
    <x:tableColumn id="32" name="tp_size"/>
    <x:tableColumn id="33" name="pp_size"/>
    <x:tableColumn id="34" name="dp_size"/>
    <x:tableColumn id="35" name="cpu_model"/>
    <x:tableColumn id="36" name="cpu_count"/>
    <x:tableColumn id="37" name="dram_bytes"/>
    <x:tableColumn id="38" name="nvme_model"/>
    <x:tableColumn id="39" name="nvme_bytes"/>
    <x:tableColumn id="40" name="network_type"/>
    <x:tableColumn id="41" name="network_bandwidth_gbps"/>
    <x:tableColumn id="42" name="cache_block_tokens"/>
    <x:tableColumn id="43" name="hbm_capacity_bytes"/>
    <x:tableColumn id="44" name="dram_capacity_bytes"/>
    <x:tableColumn id="45" name="ssd_capacity_bytes"/>
    <x:tableColumn id="46" name="remote_capacity_bytes"/>
    <x:tableColumn id="47" name="admission_policy"/>
    <x:tableColumn id="48" name="eviction_policy"/>
    <x:tableColumn id="49" name="prefetch_policy"/>
    <x:tableColumn id="50" name="privacy_mode"/>
    <x:tableColumn id="51" name="cost_rate_version"/>
    <x:tableColumn id="52" name="notes"/>
  </x:tableColumns>
  <x:tableStyleInfo name="TableStyleLight9" showFirstColumn="0" showLastColumn="0" showRowStripes="0" showColumnStripes="0"/>
</x:table>
</file>

<file path=xl/tables/table2.xml><?xml version="1.0" encoding="utf-8"?>
<x:table xmlns:x="http://schemas.openxmlformats.org/spreadsheetml/2006/main" id="2" name="RequestsTable" displayName="RequestsTable" ref="A1:BR4" headerRowCount="1" totalsRowCount="0" totalsRowShown="0">
  <x:autoFilter ref="A1:BR4"/>
  <x:tableColumns count="70">
    <x:tableColumn id="1" name="record_kind"/>
    <x:tableColumn id="2" name="schema_version"/>
    <x:tableColumn id="3" name="trace_id"/>
    <x:tableColumn id="4" name="experiment_run_id"/>
    <x:tableColumn id="5" name="request_id"/>
    <x:tableColumn id="6" name="baseline_request_id"/>
    <x:tableColumn id="7" name="task_id"/>
    <x:tableColumn id="8" name="session_id"/>
    <x:tableColumn id="9" name="tenant_scope_id"/>
    <x:tableColumn id="10" name="agent_id"/>
    <x:tableColumn id="11" name="request_seq"/>
    <x:tableColumn id="12" name="timestamp_utc"/>
    <x:tableColumn id="13" name="scene_class"/>
    <x:tableColumn id="14" name="workload_type"/>
    <x:tableColumn id="15" name="reuse_scope"/>
    <x:tableColumn id="16" name="cache_policy"/>
    <x:tableColumn id="17" name="cache_state"/>
    <x:tableColumn id="18" name="hit_shape"/>
    <x:tableColumn id="19" name="finish_status"/>
    <x:tableColumn id="20" name="repo_pseudonym"/>
    <x:tableColumn id="21" name="base_commit"/>
    <x:tableColumn id="22" name="worktree_state_hash"/>
    <x:tableColumn id="23" name="changed_file_count"/>
    <x:tableColumn id="24" name="changed_token_ratio"/>
    <x:tableColumn id="25" name="prompt_layout_version"/>
    <x:tableColumn id="26" name="prompt_token_count"/>
    <x:tableColumn id="27" name="generated_token_count"/>
    <x:tableColumn id="28" name="prefix_match_token_count"/>
    <x:tableColumn id="29" name="eligible_prefix_token_count"/>
    <x:tableColumn id="30" name="logical_hit_token_count"/>
    <x:tableColumn id="31" name="effective_hit_token_count"/>
    <x:tableColumn id="32" name="negative_hit_token_count"/>
    <x:tableColumn id="33" name="hbm_hit_tokens"/>
    <x:tableColumn id="34" name="dram_hit_tokens"/>
    <x:tableColumn id="35" name="ssd_hit_tokens"/>
    <x:tableColumn id="36" name="remote_hit_tokens"/>
    <x:tableColumn id="37" name="miss_tokens"/>
    <x:tableColumn id="38" name="queue_ms"/>
    <x:tableColumn id="39" name="tokenize_ms"/>
    <x:tableColumn id="40" name="cache_lookup_ms"/>
    <x:tableColumn id="41" name="cache_transfer_ms"/>
    <x:tableColumn id="42" name="cache_restore_ms"/>
    <x:tableColumn id="43" name="prefill_compute_ms"/>
    <x:tableColumn id="44" name="engine_ttft_ms"/>
    <x:tableColumn id="45" name="e2e_ttft_ms"/>
    <x:tableColumn id="46" name="decode_ms"/>
    <x:tableColumn id="47" name="total_request_ms"/>
    <x:tableColumn id="48" name="gpu_time_ms"/>
    <x:tableColumn id="49" name="cpu_time_ms"/>
    <x:tableColumn id="50" name="cache_read_bytes"/>
    <x:tableColumn id="51" name="cache_write_bytes"/>
    <x:tableColumn id="52" name="network_read_bytes"/>
    <x:tableColumn id="53" name="hbm_peak_bytes"/>
    <x:tableColumn id="54" name="dram_peak_bytes"/>
    <x:tableColumn id="55" name="system_cost_units"/>
    <x:tableColumn id="56" name="baseline_e2e_ttft_ms"/>
    <x:tableColumn id="57" name="baseline_cost_units"/>
    <x:tableColumn id="58" name="output_token_match_rate"/>
    <x:tableColumn id="59" name="logit_max_abs_error"/>
    <x:tableColumn id="60" name="task_success_flag"/>
    <x:tableColumn id="61" name="error_type"/>
    <x:tableColumn id="62" name="notes"/>
    <x:tableColumn id="63" name="request_hit_flag"/>
    <x:tableColumn id="64" name="logical_token_hit_rate"/>
    <x:tableColumn id="65" name="effective_token_hit_rate"/>
    <x:tableColumn id="66" name="negative_hit_rate"/>
    <x:tableColumn id="67" name="ttft_gain"/>
    <x:tableColumn id="68" name="cost_ratio"/>
    <x:tableColumn id="69" name="token_accounting_check"/>
    <x:tableColumn id="70" name="effective_consistency_check"/>
  </x:tableColumns>
  <x:tableStyleInfo name="TableStyleLight9" showFirstColumn="0" showLastColumn="0" showRowStripes="0" showColumnStripes="0"/>
</x:table>
</file>

<file path=xl/tables/table3.xml><?xml version="1.0" encoding="utf-8"?>
<x:table xmlns:x="http://schemas.openxmlformats.org/spreadsheetml/2006/main" id="3" name="PromptSegmentsTable" displayName="PromptSegmentsTable" ref="A1:Y6" headerRowCount="1" totalsRowCount="0" totalsRowShown="0">
  <x:autoFilter ref="A1:Y6"/>
  <x:tableColumns count="25">
    <x:tableColumn id="1" name="record_kind"/>
    <x:tableColumn id="2" name="schema_version"/>
    <x:tableColumn id="3" name="trace_id"/>
    <x:tableColumn id="4" name="request_id"/>
    <x:tableColumn id="5" name="segment_id"/>
    <x:tableColumn id="6" name="segment_order"/>
    <x:tableColumn id="7" name="component_type"/>
    <x:tableColumn id="8" name="stable_scope"/>
    <x:tableColumn id="9" name="sensitivity_class"/>
    <x:tableColumn id="10" name="source_ref_pseudonym"/>
    <x:tableColumn id="11" name="content_version"/>
    <x:tableColumn id="12" name="content_hash_salted"/>
    <x:tableColumn id="13" name="token_ids_ref"/>
    <x:tableColumn id="14" name="raw_content_ref"/>
    <x:tableColumn id="15" name="token_start_inclusive"/>
    <x:tableColumn id="16" name="token_end_exclusive"/>
    <x:tableColumn id="17" name="token_count"/>
    <x:tableColumn id="18" name="is_prefix_contiguous"/>
    <x:tableColumn id="19" name="canonical_order_key"/>
    <x:tableColumn id="20" name="changed_since_prior"/>
    <x:tableColumn id="21" name="prior_segment_id"/>
    <x:tableColumn id="22" name="prefix_dependency_hash"/>
    <x:tableColumn id="23" name="compatibility_domain_id"/>
    <x:tableColumn id="24" name="notes"/>
    <x:tableColumn id="25" name="boundary_check"/>
  </x:tableColumns>
  <x:tableStyleInfo name="TableStyleLight9" showFirstColumn="0" showLastColumn="0" showRowStripes="0" showColumnStripes="0"/>
</x:table>
</file>

<file path=xl/tables/table4.xml><?xml version="1.0" encoding="utf-8"?>
<x:table xmlns:x="http://schemas.openxmlformats.org/spreadsheetml/2006/main" id="4" name="CacheEventsTable" displayName="CacheEventsTable" ref="A1:AD5" headerRowCount="1" totalsRowCount="0" totalsRowShown="0">
  <x:autoFilter ref="A1:AD5"/>
  <x:tableColumns count="30">
    <x:tableColumn id="1" name="record_kind"/>
    <x:tableColumn id="2" name="schema_version"/>
    <x:tableColumn id="3" name="trace_id"/>
    <x:tableColumn id="4" name="request_id"/>
    <x:tableColumn id="5" name="cache_event_id"/>
    <x:tableColumn id="6" name="event_seq"/>
    <x:tableColumn id="7" name="timestamp_utc"/>
    <x:tableColumn id="8" name="operation"/>
    <x:tableColumn id="9" name="cache_tier"/>
    <x:tableColumn id="10" name="hit_status"/>
    <x:tableColumn id="11" name="cache_key_hash"/>
    <x:tableColumn id="12" name="block_id"/>
    <x:tableColumn id="13" name="token_start_inclusive"/>
    <x:tableColumn id="14" name="token_end_exclusive"/>
    <x:tableColumn id="15" name="token_count"/>
    <x:tableColumn id="16" name="bytes_read"/>
    <x:tableColumn id="17" name="bytes_written"/>
    <x:tableColumn id="18" name="lookup_ms"/>
    <x:tableColumn id="19" name="transfer_ms"/>
    <x:tableColumn id="20" name="restore_ms"/>
    <x:tableColumn id="21" name="recompute_estimate_ms"/>
    <x:tableColumn id="22" name="effective_hit_flag"/>
    <x:tableColumn id="23" name="negative_hit_flag"/>
    <x:tableColumn id="24" name="source_request_id"/>
    <x:tableColumn id="25" name="compatibility_domain_id"/>
    <x:tableColumn id="26" name="prefetch_flag"/>
    <x:tableColumn id="27" name="eviction_reason"/>
    <x:tableColumn id="28" name="fallback_reason"/>
    <x:tableColumn id="29" name="error_type"/>
    <x:tableColumn id="30" name="notes"/>
  </x:tableColumns>
  <x:tableStyleInfo name="TableStyleLight9" showFirstColumn="0" showLastColumn="0" showRowStripes="0" showColumnStripes="0"/>
</x:table>
</file>

<file path=xl/tables/table5.xml><?xml version="1.0" encoding="utf-8"?>
<x:table xmlns:x="http://schemas.openxmlformats.org/spreadsheetml/2006/main" id="5" name="AgentStepsTable" displayName="AgentStepsTable" ref="A1:V4" headerRowCount="1" totalsRowCount="0" totalsRowShown="0">
  <x:autoFilter ref="A1:V4"/>
  <x:tableColumns count="22">
    <x:tableColumn id="1" name="record_kind"/>
    <x:tableColumn id="2" name="schema_version"/>
    <x:tableColumn id="3" name="trace_id"/>
    <x:tableColumn id="4" name="task_id"/>
    <x:tableColumn id="5" name="session_id"/>
    <x:tableColumn id="6" name="request_id"/>
    <x:tableColumn id="7" name="step_id"/>
    <x:tableColumn id="8" name="step_index"/>
    <x:tableColumn id="9" name="step_type"/>
    <x:tableColumn id="10" name="action_name"/>
    <x:tableColumn id="11" name="tool_name"/>
    <x:tableColumn id="12" name="tool_args_hash"/>
    <x:tableColumn id="13" name="tool_result_ref"/>
    <x:tableColumn id="14" name="tool_result_token_count"/>
    <x:tableColumn id="15" name="tool_result_bytes"/>
    <x:tableColumn id="16" name="start_utc"/>
    <x:tableColumn id="17" name="end_utc"/>
    <x:tableColumn id="18" name="duration_ms"/>
    <x:tableColumn id="19" name="status"/>
    <x:tableColumn id="20" name="error_type"/>
    <x:tableColumn id="21" name="related_change_id"/>
    <x:tableColumn id="22" name="notes"/>
  </x:tableColumns>
  <x:tableStyleInfo name="TableStyleLight9" showFirstColumn="0" showLastColumn="0" showRowStripes="0" showColumnStripes="0"/>
</x:table>
</file>

<file path=xl/tables/table6.xml><?xml version="1.0" encoding="utf-8"?>
<x:table xmlns:x="http://schemas.openxmlformats.org/spreadsheetml/2006/main" id="6" name="FileChangesTable" displayName="FileChangesTable" ref="A1:X3" headerRowCount="1" totalsRowCount="0" totalsRowShown="0">
  <x:autoFilter ref="A1:X3"/>
  <x:tableColumns count="24">
    <x:tableColumn id="1" name="record_kind"/>
    <x:tableColumn id="2" name="schema_version"/>
    <x:tableColumn id="3" name="trace_id"/>
    <x:tableColumn id="4" name="task_id"/>
    <x:tableColumn id="5" name="request_id"/>
    <x:tableColumn id="6" name="change_id"/>
    <x:tableColumn id="7" name="repo_pseudonym"/>
    <x:tableColumn id="8" name="file_path_hash"/>
    <x:tableColumn id="9" name="language"/>
    <x:tableColumn id="10" name="change_type"/>
    <x:tableColumn id="11" name="commit_before"/>
    <x:tableColumn id="12" name="commit_after"/>
    <x:tableColumn id="13" name="file_hash_before"/>
    <x:tableColumn id="14" name="file_hash_after"/>
    <x:tableColumn id="15" name="lines_added"/>
    <x:tableColumn id="16" name="lines_deleted"/>
    <x:tableColumn id="17" name="file_tokens_before"/>
    <x:tableColumn id="18" name="file_tokens_after"/>
    <x:tableColumn id="19" name="changed_token_count"/>
    <x:tableColumn id="20" name="changed_token_ratio"/>
    <x:tableColumn id="21" name="in_prompt_flag"/>
    <x:tableColumn id="22" name="segment_id"/>
    <x:tableColumn id="23" name="dependency_scope"/>
    <x:tableColumn id="24" name="notes"/>
  </x:tableColumns>
  <x:tableStyleInfo name="TableStyleLight9" showFirstColumn="0" showLastColumn="0" showRowStripes="0" showColumnStripes="0"/>
</x:table>
</file>

<file path=xl/tables/table7.xml><?xml version="1.0" encoding="utf-8"?>
<x:table xmlns:x="http://schemas.openxmlformats.org/spreadsheetml/2006/main" id="7" name="MetricDictionaryTable" displayName="MetricDictionaryTable" ref="A1:J20" headerRowCount="1" totalsRowCount="0" totalsRowShown="0">
  <x:tableColumns count="10">
    <x:tableColumn id="1" name="metric_id"/>
    <x:tableColumn id="2" name="中文名称"/>
    <x:tableColumn id="3" name="English name"/>
    <x:tableColumn id="4" name="level"/>
    <x:tableColumn id="5" name="formula"/>
    <x:tableColumn id="6" name="unit"/>
    <x:tableColumn id="7" name="headline_use"/>
    <x:tableColumn id="8" name="inclusion_rule"/>
    <x:tableColumn id="9" name="required_slices"/>
    <x:tableColumn id="10" name="target_status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FieldDictionaryTable" displayName="FieldDictionaryTable" ref="A1:K224" headerRowCount="1" totalsRowCount="0" totalsRowShown="0">
  <x:tableColumns count="11">
    <x:tableColumn id="1" name="sheet_name"/>
    <x:tableColumn id="2" name="field_name"/>
    <x:tableColumn id="3" name="group"/>
    <x:tableColumn id="4" name="required_level"/>
    <x:tableColumn id="5" name="data_type"/>
    <x:tableColumn id="6" name="unit"/>
    <x:tableColumn id="7" name="description"/>
    <x:tableColumn id="8" name="allowed_values"/>
    <x:tableColumn id="9" name="sensitivity"/>
    <x:tableColumn id="10" name="collector"/>
    <x:tableColumn id="11" name="example_valu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ControlledVocabTable" displayName="ControlledVocabTable" ref="A1:D102" headerRowCount="1" totalsRowCount="0" totalsRowShown="0">
  <x:tableColumns count="4">
    <x:tableColumn id="1" name="category"/>
    <x:tableColumn id="2" name="value"/>
    <x:tableColumn id="3" name="中文含义"/>
    <x:tableColumn id="4" name="used_i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6f999059974b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7f1e0ff3a041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a50972ac144b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c929b47d5b45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af96e50aa549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2b1e951df040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c3889a392d249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401ee167b924e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dd431a4e4346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34" hidden="0" customWidth="1"/>
    <x:col min="5" max="5" width="18" hidden="0" customWidth="1"/>
    <x:col min="6" max="6" width="24" hidden="0" customWidth="1"/>
    <x:col min="7" max="7" width="18" hidden="0" customWidth="1"/>
    <x:col min="8" max="8" width="32" hidden="0" customWidth="1"/>
  </x:cols>
  <x:sheetData>
    <x:row r="1" ht="34" customHeight="1">
      <x:c r="A1" s="36" t="str">
        <x:v>Code Agent Trace字段模板</x:v>
      </x:c>
      <x:c r="B1" s="36"/>
      <x:c r="C1" s="36"/>
      <x:c r="D1" s="36"/>
      <x:c r="E1" s="36"/>
      <x:c r="F1" s="36"/>
      <x:c r="G1" s="36"/>
      <x:c r="H1" s="36"/>
    </x:row>
    <x:row r="2" ht="34" customHeight="1">
      <x:c r="A2" s="36"/>
      <x:c r="B2" s="36"/>
      <x:c r="C2" s="36"/>
      <x:c r="D2" s="36"/>
      <x:c r="E2" s="36"/>
      <x:c r="F2" s="36"/>
      <x:c r="G2" s="36"/>
      <x:c r="H2" s="36"/>
    </x:row>
    <x:row r="3" ht="24" customHeight="1">
      <x:c r="A3" s="37" t="str">
        <x:v>Stage 02 / Trace schema, examples, validation and metric definitions</x:v>
      </x:c>
      <x:c r="B3" s="37"/>
      <x:c r="C3" s="37"/>
      <x:c r="D3" s="37"/>
      <x:c r="E3" s="37"/>
      <x:c r="F3" s="37"/>
      <x:c r="G3" s="37"/>
      <x:c r="H3" s="37"/>
    </x:row>
    <x:row r="4" ht="24" customHeight="1">
      <x:c r="A4" s="38"/>
      <x:c r="B4" s="38"/>
      <x:c r="C4" s="38"/>
      <x:c r="D4" s="38"/>
      <x:c r="E4" s="38"/>
      <x:c r="F4" s="38"/>
      <x:c r="G4" s="38"/>
      <x:c r="H4" s="38"/>
    </x:row>
    <x:row r="5" ht="24" customHeight="1">
      <x:c r="A5" s="28" t="str">
        <x:v>版本</x:v>
      </x:c>
      <x:c r="B5" s="29" t="str">
        <x:v>V1.0</x:v>
      </x:c>
      <x:c r="C5" s="28" t="str">
        <x:v>状态</x:v>
      </x:c>
      <x:c r="D5" s="29" t="str">
        <x:v>Pilot准备</x:v>
      </x:c>
      <x:c r="E5" s="28" t="str">
        <x:v>日期</x:v>
      </x:c>
      <x:c r="F5" s="29" t="str">
        <x:v>2026-08-27</x:v>
      </x:c>
      <x:c r="G5" s="28" t="str">
        <x:v>主事实单位</x:v>
      </x:c>
      <x:c r="H5" s="29" t="str">
        <x:v>一次LLM推理请求</x:v>
      </x:c>
    </x:row>
    <x:row r="6" ht="24" customHeight="1">
      <x:c r="A6" s="28" t="str">
        <x:v>配套文件</x:v>
      </x:c>
      <x:c r="B6" s="29" t="str">
        <x:v>项目定义与技术指标确认表</x:v>
      </x:c>
      <x:c r="C6" s="28" t="str">
        <x:v>统计规则</x:v>
      </x:c>
      <x:c r="D6" s="29" t="str">
        <x:v>仅record_kind=DATA</x:v>
      </x:c>
      <x:c r="E6" s="28" t="str">
        <x:v>隐私默认</x:v>
      </x:c>
      <x:c r="F6" s="29" t="str">
        <x:v>M1受控Token</x:v>
      </x:c>
      <x:c r="G6" s="28" t="str">
        <x:v>示例</x:v>
      </x:c>
      <x:c r="H6" s="29" t="str">
        <x:v>保留但不进指标</x:v>
      </x:c>
    </x:row>
    <x:row r="7" ht="24" customHeight="1">
      <x:c r="A7" s="38"/>
      <x:c r="B7" s="38"/>
      <x:c r="C7" s="38"/>
      <x:c r="D7" s="38"/>
      <x:c r="E7" s="38"/>
      <x:c r="F7" s="38"/>
      <x:c r="G7" s="38"/>
      <x:c r="H7" s="38"/>
    </x:row>
    <x:row r="8" ht="34" customHeight="1">
      <x:c r="A8" s="15" t="str">
        <x:v>重要：新增正式记录时把record_kind设为DATA。不要删除EXAMPLE行；QA_Summary会自动排除它们。原始Prompt、Token ID和工具输出应保存在获批的受控存储中，工作簿只保存安全引用。</x:v>
      </x:c>
      <x:c r="B8" s="15"/>
      <x:c r="C8" s="15"/>
      <x:c r="D8" s="15"/>
      <x:c r="E8" s="15"/>
      <x:c r="F8" s="15"/>
      <x:c r="G8" s="15"/>
      <x:c r="H8" s="15"/>
    </x:row>
    <x:row r="9" ht="34" customHeight="1">
      <x:c r="A9" s="15"/>
      <x:c r="B9" s="15"/>
      <x:c r="C9" s="15"/>
      <x:c r="D9" s="15"/>
      <x:c r="E9" s="15"/>
      <x:c r="F9" s="15"/>
      <x:c r="G9" s="15"/>
      <x:c r="H9" s="15"/>
    </x:row>
    <x:row r="10" ht="24" customHeight="1">
      <x:c r="A10" s="38"/>
      <x:c r="B10" s="38"/>
      <x:c r="C10" s="38"/>
      <x:c r="D10" s="38"/>
      <x:c r="E10" s="38"/>
      <x:c r="F10" s="38"/>
      <x:c r="G10" s="38"/>
      <x:c r="H10" s="38"/>
    </x:row>
    <x:row r="11" ht="24" customHeight="1">
      <x:c r="A11" s="39" t="str">
        <x:v>使用步骤</x:v>
      </x:c>
      <x:c r="B11" s="39" t="str">
        <x:v>使用步骤</x:v>
      </x:c>
      <x:c r="C11" s="39" t="str">
        <x:v>使用步骤</x:v>
      </x:c>
      <x:c r="D11" s="39" t="str">
        <x:v>使用步骤</x:v>
      </x:c>
      <x:c r="E11" s="39" t="str">
        <x:v>使用步骤</x:v>
      </x:c>
      <x:c r="F11" s="39" t="str">
        <x:v>使用步骤</x:v>
      </x:c>
      <x:c r="G11" s="39" t="str">
        <x:v>使用步骤</x:v>
      </x:c>
      <x:c r="H11" s="39" t="str">
        <x:v>使用步骤</x:v>
      </x:c>
    </x:row>
    <x:row r="12" ht="24" customHeight="1">
      <x:c r="A12" s="28" t="str">
        <x:v>步骤</x:v>
      </x:c>
      <x:c r="B12" s="28" t="str">
        <x:v>动作</x:v>
      </x:c>
      <x:c r="C12" s="28" t="str">
        <x:v>主要Sheet</x:v>
      </x:c>
      <x:c r="D12" s="28" t="str">
        <x:v>完成标志</x:v>
      </x:c>
      <x:c r="E12" s="38" t="str"/>
      <x:c r="F12" s="38" t="str"/>
      <x:c r="G12" s="38" t="str"/>
      <x:c r="H12" s="38" t="str"/>
    </x:row>
    <x:row r="13" ht="24" customHeight="1">
      <x:c r="A13" s="29" t="n">
        <x:v>1</x:v>
      </x:c>
      <x:c r="B13" s="29" t="str">
        <x:v>先复制RunConfig示例行并替换全部example字段</x:v>
      </x:c>
      <x:c r="C13" s="29" t="str">
        <x:v>RunConfig</x:v>
      </x:c>
      <x:c r="D13" s="29" t="str">
        <x:v>experiment_run_id唯一且P0配置已冻结</x:v>
      </x:c>
      <x:c r="E13" s="38" t="str"/>
      <x:c r="F13" s="38" t="str"/>
      <x:c r="G13" s="38" t="str"/>
      <x:c r="H13" s="38" t="str"/>
    </x:row>
    <x:row r="14" ht="24" customHeight="1">
      <x:c r="A14" s="29" t="n">
        <x:v>2</x:v>
      </x:c>
      <x:c r="B14" s="29" t="str">
        <x:v>为每次LLM调用写入Requests；Prompt组成写入PromptSegments</x:v>
      </x:c>
      <x:c r="C14" s="29" t="str">
        <x:v>Requests / PromptSegments</x:v>
      </x:c>
      <x:c r="D14" s="29" t="str">
        <x:v>Token边界和账户检查均为OK</x:v>
      </x:c>
      <x:c r="E14" s="38" t="str"/>
      <x:c r="F14" s="38" t="str"/>
      <x:c r="G14" s="38" t="str"/>
      <x:c r="H14" s="38" t="str"/>
    </x:row>
    <x:row r="15" ht="24" customHeight="1">
      <x:c r="A15" s="29" t="n">
        <x:v>3</x:v>
      </x:c>
      <x:c r="B15" s="29" t="str">
        <x:v>缓存层逐块写入CacheEvents；Agent控制器写入AgentSteps</x:v>
      </x:c>
      <x:c r="C15" s="29" t="str">
        <x:v>CacheEvents / AgentSteps</x:v>
      </x:c>
      <x:c r="D15" s="29" t="str">
        <x:v>事件可按request_id与时间顺序回放</x:v>
      </x:c>
      <x:c r="E15" s="38" t="str"/>
      <x:c r="F15" s="38" t="str"/>
      <x:c r="G15" s="38" t="str"/>
      <x:c r="H15" s="38" t="str"/>
    </x:row>
    <x:row r="16" ht="24" customHeight="1">
      <x:c r="A16" s="29" t="n">
        <x:v>4</x:v>
      </x:c>
      <x:c r="B16" s="29" t="str">
        <x:v>仓库观察器写入FileChanges；不保存明文路径</x:v>
      </x:c>
      <x:c r="C16" s="29" t="str">
        <x:v>FileChanges</x:v>
      </x:c>
      <x:c r="D16" s="29" t="str">
        <x:v>变化率与Prompt片段可关联</x:v>
      </x:c>
      <x:c r="E16" s="38" t="str"/>
      <x:c r="F16" s="38" t="str"/>
      <x:c r="G16" s="38" t="str"/>
      <x:c r="H16" s="38" t="str"/>
    </x:row>
    <x:row r="17" ht="24" customHeight="1">
      <x:c r="A17" s="29" t="n">
        <x:v>5</x:v>
      </x:c>
      <x:c r="B17" s="29" t="str">
        <x:v>打开QA_Summary并处理ERROR/CHECK后再导出实验结果</x:v>
      </x:c>
      <x:c r="C17" s="29" t="str">
        <x:v>QA_Summary</x:v>
      </x:c>
      <x:c r="D17" s="29" t="str">
        <x:v>状态READY或有正式豁免记录</x:v>
      </x:c>
      <x:c r="E17" s="38" t="str"/>
      <x:c r="F17" s="38" t="str"/>
      <x:c r="G17" s="38" t="str"/>
      <x:c r="H17" s="38" t="str"/>
    </x:row>
    <x:row r="18" ht="24" customHeight="1">
      <x:c r="A18" s="38"/>
      <x:c r="B18" s="38"/>
      <x:c r="C18" s="38"/>
      <x:c r="D18" s="38"/>
      <x:c r="E18" s="38"/>
      <x:c r="F18" s="38"/>
      <x:c r="G18" s="38"/>
      <x:c r="H18" s="38"/>
    </x:row>
    <x:row r="19" ht="24" customHeight="1">
      <x:c r="A19" s="39" t="str">
        <x:v>表之间关系</x:v>
      </x:c>
      <x:c r="B19" s="39" t="str">
        <x:v>表之间关系</x:v>
      </x:c>
      <x:c r="C19" s="39" t="str">
        <x:v>表之间关系</x:v>
      </x:c>
      <x:c r="D19" s="39" t="str">
        <x:v>表之间关系</x:v>
      </x:c>
      <x:c r="E19" s="39" t="str">
        <x:v>表之间关系</x:v>
      </x:c>
      <x:c r="F19" s="39" t="str">
        <x:v>表之间关系</x:v>
      </x:c>
      <x:c r="G19" s="39" t="str">
        <x:v>表之间关系</x:v>
      </x:c>
      <x:c r="H19" s="39" t="str">
        <x:v>表之间关系</x:v>
      </x:c>
    </x:row>
    <x:row r="20" ht="24" customHeight="1">
      <x:c r="A20" s="28" t="str">
        <x:v>Sheet</x:v>
      </x:c>
      <x:c r="B20" s="28" t="str">
        <x:v>主键</x:v>
      </x:c>
      <x:c r="C20" s="28" t="str">
        <x:v>父表</x:v>
      </x:c>
      <x:c r="D20" s="28" t="str">
        <x:v>关联键</x:v>
      </x:c>
      <x:c r="E20" s="28" t="str">
        <x:v>一条记录</x:v>
      </x:c>
      <x:c r="F20" s="28" t="str">
        <x:v>正式必需</x:v>
      </x:c>
      <x:c r="G20" s="28" t="str">
        <x:v>敏感度</x:v>
      </x:c>
      <x:c r="H20" s="28" t="str">
        <x:v>说明</x:v>
      </x:c>
    </x:row>
    <x:row r="21" ht="24" customHeight="1">
      <x:c r="A21" s="29" t="str">
        <x:v>RunConfig</x:v>
      </x:c>
      <x:c r="B21" s="29" t="str">
        <x:v>experiment_run_id</x:v>
      </x:c>
      <x:c r="C21" s="29" t="str">
        <x:v>-</x:v>
      </x:c>
      <x:c r="D21" s="29" t="str">
        <x:v>-</x:v>
      </x:c>
      <x:c r="E21" s="29" t="str">
        <x:v>一次实验配置</x:v>
      </x:c>
      <x:c r="F21" s="29" t="str">
        <x:v>是</x:v>
      </x:c>
      <x:c r="G21" s="29" t="str">
        <x:v>内部</x:v>
      </x:c>
      <x:c r="H21" s="29" t="str">
        <x:v>冻结模型、硬件、缓存和费率</x:v>
      </x:c>
    </x:row>
    <x:row r="22" ht="24" customHeight="1">
      <x:c r="A22" s="29" t="str">
        <x:v>Requests</x:v>
      </x:c>
      <x:c r="B22" s="29" t="str">
        <x:v>request_id</x:v>
      </x:c>
      <x:c r="C22" s="29" t="str">
        <x:v>RunConfig</x:v>
      </x:c>
      <x:c r="D22" s="29" t="str">
        <x:v>experiment_run_id</x:v>
      </x:c>
      <x:c r="E22" s="29" t="str">
        <x:v>一次LLM推理调用</x:v>
      </x:c>
      <x:c r="F22" s="29" t="str">
        <x:v>是</x:v>
      </x:c>
      <x:c r="G22" s="29" t="str">
        <x:v>内部/机密</x:v>
      </x:c>
      <x:c r="H22" s="29" t="str">
        <x:v>命中、TTFT与成本主事实</x:v>
      </x:c>
    </x:row>
    <x:row r="23" ht="24" customHeight="1">
      <x:c r="A23" s="29" t="str">
        <x:v>PromptSegments</x:v>
      </x:c>
      <x:c r="B23" s="29" t="str">
        <x:v>segment_id</x:v>
      </x:c>
      <x:c r="C23" s="29" t="str">
        <x:v>Requests</x:v>
      </x:c>
      <x:c r="D23" s="29" t="str">
        <x:v>request_id</x:v>
      </x:c>
      <x:c r="E23" s="29" t="str">
        <x:v>一个Prompt组件</x:v>
      </x:c>
      <x:c r="F23" s="29" t="str">
        <x:v>是</x:v>
      </x:c>
      <x:c r="G23" s="29" t="str">
        <x:v>受限</x:v>
      </x:c>
      <x:c r="H23" s="29" t="str">
        <x:v>计算重复来源与前缀边界</x:v>
      </x:c>
    </x:row>
    <x:row r="24" ht="24" customHeight="1">
      <x:c r="A24" s="29" t="str">
        <x:v>CacheEvents</x:v>
      </x:c>
      <x:c r="B24" s="29" t="str">
        <x:v>cache_event_id</x:v>
      </x:c>
      <x:c r="C24" s="29" t="str">
        <x:v>Requests</x:v>
      </x:c>
      <x:c r="D24" s="29" t="str">
        <x:v>request_id</x:v>
      </x:c>
      <x:c r="E24" s="29" t="str">
        <x:v>一次缓存操作</x:v>
      </x:c>
      <x:c r="F24" s="29" t="str">
        <x:v>是</x:v>
      </x:c>
      <x:c r="G24" s="29" t="str">
        <x:v>内部</x:v>
      </x:c>
      <x:c r="H24" s="29" t="str">
        <x:v>查找/读/写/预取/淘汰</x:v>
      </x:c>
    </x:row>
    <x:row r="25" ht="24" customHeight="1">
      <x:c r="A25" s="29" t="str">
        <x:v>AgentSteps</x:v>
      </x:c>
      <x:c r="B25" s="29" t="str">
        <x:v>step_id</x:v>
      </x:c>
      <x:c r="C25" s="29" t="str">
        <x:v>Requests可选</x:v>
      </x:c>
      <x:c r="D25" s="29" t="str">
        <x:v>request_id</x:v>
      </x:c>
      <x:c r="E25" s="29" t="str">
        <x:v>一个Agent动作</x:v>
      </x:c>
      <x:c r="F25" s="29" t="str">
        <x:v>是</x:v>
      </x:c>
      <x:c r="G25" s="29" t="str">
        <x:v>机密</x:v>
      </x:c>
      <x:c r="H25" s="29" t="str">
        <x:v>还原模型-工具闭环</x:v>
      </x:c>
    </x:row>
    <x:row r="26" ht="24" customHeight="1">
      <x:c r="A26" s="29" t="str">
        <x:v>FileChanges</x:v>
      </x:c>
      <x:c r="B26" s="29" t="str">
        <x:v>change_id</x:v>
      </x:c>
      <x:c r="C26" s="29" t="str">
        <x:v>Requests/Task</x:v>
      </x:c>
      <x:c r="D26" s="29" t="str">
        <x:v>request_id/task_id</x:v>
      </x:c>
      <x:c r="E26" s="29" t="str">
        <x:v>一个文件变化</x:v>
      </x:c>
      <x:c r="F26" s="29" t="str">
        <x:v>条件</x:v>
      </x:c>
      <x:c r="G26" s="29" t="str">
        <x:v>受限</x:v>
      </x:c>
      <x:c r="H26" s="29" t="str">
        <x:v>分析增量失效</x:v>
      </x:c>
    </x:row>
    <x:row r="27" ht="24" customHeight="1">
      <x:c r="A27" s="29" t="str">
        <x:v>FieldDictionary</x:v>
      </x:c>
      <x:c r="B27" s="29" t="str">
        <x:v>sheet+field</x:v>
      </x:c>
      <x:c r="C27" s="29" t="str">
        <x:v>-</x:v>
      </x:c>
      <x:c r="D27" s="29" t="str">
        <x:v>-</x:v>
      </x:c>
      <x:c r="E27" s="29" t="str">
        <x:v>一个字段定义</x:v>
      </x:c>
      <x:c r="F27" s="29" t="str">
        <x:v>是</x:v>
      </x:c>
      <x:c r="G27" s="29" t="str">
        <x:v>公开给项目组</x:v>
      </x:c>
      <x:c r="H27" s="29" t="str">
        <x:v>采集器实现依据</x:v>
      </x:c>
    </x:row>
    <x:row r="28" ht="24" customHeight="1">
      <x:c r="A28" s="38"/>
      <x:c r="B28" s="38"/>
      <x:c r="C28" s="38"/>
      <x:c r="D28" s="38"/>
      <x:c r="E28" s="38"/>
      <x:c r="F28" s="38"/>
      <x:c r="G28" s="38"/>
      <x:c r="H28" s="38"/>
    </x:row>
    <x:row r="29" ht="24" customHeight="1">
      <x:c r="A29" s="39" t="str">
        <x:v>候选目标（尚未冻结）</x:v>
      </x:c>
      <x:c r="B29" s="39" t="str">
        <x:v>候选目标（尚未冻结）</x:v>
      </x:c>
      <x:c r="C29" s="39" t="str">
        <x:v>候选目标（尚未冻结）</x:v>
      </x:c>
      <x:c r="D29" s="39" t="str">
        <x:v>候选目标（尚未冻结）</x:v>
      </x:c>
      <x:c r="E29" s="39" t="str">
        <x:v>候选目标（尚未冻结）</x:v>
      </x:c>
      <x:c r="F29" s="39" t="str">
        <x:v>候选目标（尚未冻结）</x:v>
      </x:c>
      <x:c r="G29" s="39" t="str">
        <x:v>候选目标（尚未冻结）</x:v>
      </x:c>
      <x:c r="H29" s="39" t="str">
        <x:v>候选目标（尚未冻结）</x:v>
      </x:c>
    </x:row>
    <x:row r="30" ht="24" customHeight="1">
      <x:c r="A30" s="28" t="str">
        <x:v>目标</x:v>
      </x:c>
      <x:c r="B30" s="28" t="str">
        <x:v>候选值</x:v>
      </x:c>
      <x:c r="C30" s="28" t="str">
        <x:v>主指标</x:v>
      </x:c>
      <x:c r="D30" s="28" t="str">
        <x:v>冻结前必须绑定</x:v>
      </x:c>
      <x:c r="E30" s="38" t="str"/>
      <x:c r="F30" s="38" t="str"/>
      <x:c r="G30" s="38" t="str"/>
      <x:c r="H30" s="38" t="str"/>
    </x:row>
    <x:row r="31" ht="24" customHeight="1">
      <x:c r="A31" s="29" t="str">
        <x:v>通用场景命中</x:v>
      </x:c>
      <x:c r="B31" s="40" t="n">
        <x:v>0.7</x:v>
      </x:c>
      <x:c r="C31" s="29" t="str">
        <x:v>H_effective（全部Prompt Token）</x:v>
      </x:c>
      <x:c r="D31" s="29" t="str">
        <x:v>数据集、分母、冷启动、缓存容量</x:v>
      </x:c>
      <x:c r="E31" s="38" t="str"/>
      <x:c r="F31" s="38" t="str"/>
      <x:c r="G31" s="38" t="str"/>
      <x:c r="H31" s="38" t="str"/>
    </x:row>
    <x:row r="32" ht="24" customHeight="1">
      <x:c r="A32" s="29" t="str">
        <x:v>Code Agent命中</x:v>
      </x:c>
      <x:c r="B32" s="40" t="n">
        <x:v>0.95</x:v>
      </x:c>
      <x:c r="C32" s="29" t="str">
        <x:v>H_effective（全部Prompt Token）</x:v>
      </x:c>
      <x:c r="D32" s="29" t="str">
        <x:v>任务范围、首轮、层级、变化率</x:v>
      </x:c>
      <x:c r="E32" s="38" t="str"/>
      <x:c r="F32" s="38" t="str"/>
      <x:c r="G32" s="38" t="str"/>
      <x:c r="H32" s="38" t="str"/>
    </x:row>
    <x:row r="33" ht="24" customHeight="1">
      <x:c r="A33" s="29" t="str">
        <x:v>TTFT改善</x:v>
      </x:c>
      <x:c r="B33" s="40" t="n">
        <x:v>0.9</x:v>
      </x:c>
      <x:c r="C33" s="29" t="str">
        <x:v>配对G_TTFT + 绝对毫秒</x:v>
      </x:c>
      <x:c r="D33" s="29" t="str">
        <x:v>命中形态、P50/P95/P99、并发</x:v>
      </x:c>
      <x:c r="E33" s="38" t="str"/>
      <x:c r="F33" s="38" t="str"/>
      <x:c r="G33" s="38" t="str"/>
      <x:c r="H33" s="38" t="str"/>
    </x:row>
    <x:row r="34" ht="24" customHeight="1">
      <x:c r="A34" s="29" t="str">
        <x:v>端到端成本</x:v>
      </x:c>
      <x:c r="B34" s="40" t="n">
        <x:v>0.1</x:v>
      </x:c>
      <x:c r="C34" s="29" t="str">
        <x:v>C_ratio</x:v>
      </x:c>
      <x:c r="D34" s="29" t="str">
        <x:v>GPU/CPU/内存/SSD/网络/运维费率</x:v>
      </x:c>
      <x:c r="E34" s="38" t="str"/>
      <x:c r="F34" s="38" t="str"/>
      <x:c r="G34" s="38" t="str"/>
      <x:c r="H34" s="38" t="str"/>
    </x:row>
    <x:row r="35" ht="24" customHeight="1">
      <x:c r="A35" s="38"/>
      <x:c r="B35" s="38"/>
      <x:c r="C35" s="38"/>
      <x:c r="D35" s="38"/>
      <x:c r="E35" s="38"/>
      <x:c r="F35" s="38"/>
      <x:c r="G35" s="38"/>
      <x:c r="H35" s="38"/>
    </x:row>
    <x:row r="36" ht="24" customHeight="1">
      <x:c r="A36" s="39" t="str">
        <x:v>颜色与数据保护</x:v>
      </x:c>
      <x:c r="B36" s="39" t="str">
        <x:v>颜色与数据保护</x:v>
      </x:c>
      <x:c r="C36" s="39" t="str">
        <x:v>颜色与数据保护</x:v>
      </x:c>
      <x:c r="D36" s="39" t="str">
        <x:v>颜色与数据保护</x:v>
      </x:c>
      <x:c r="E36" s="39" t="str">
        <x:v>颜色与数据保护</x:v>
      </x:c>
      <x:c r="F36" s="39" t="str">
        <x:v>颜色与数据保护</x:v>
      </x:c>
      <x:c r="G36" s="39" t="str">
        <x:v>颜色与数据保护</x:v>
      </x:c>
      <x:c r="H36" s="39" t="str">
        <x:v>颜色与数据保护</x:v>
      </x:c>
    </x:row>
    <x:row r="37" ht="24" customHeight="1">
      <x:c r="A37" s="28" t="str">
        <x:v>颜色</x:v>
      </x:c>
      <x:c r="B37" s="28" t="str">
        <x:v>含义</x:v>
      </x:c>
      <x:c r="C37" s="28" t="str">
        <x:v>处理</x:v>
      </x:c>
      <x:c r="D37" s="38" t="str"/>
      <x:c r="E37" s="38" t="str"/>
      <x:c r="F37" s="38" t="str"/>
      <x:c r="G37" s="38" t="str"/>
      <x:c r="H37" s="38" t="str"/>
    </x:row>
    <x:row r="38" ht="24" customHeight="1">
      <x:c r="A38" s="41" t="str">
        <x:v>黄色</x:v>
      </x:c>
      <x:c r="B38" s="29" t="str">
        <x:v>示例或候选值</x:v>
      </x:c>
      <x:c r="C38" s="29" t="str">
        <x:v>正式采集时复制并改为DATA</x:v>
      </x:c>
      <x:c r="D38" s="38" t="str"/>
      <x:c r="E38" s="38" t="str"/>
      <x:c r="F38" s="38" t="str"/>
      <x:c r="G38" s="38" t="str"/>
      <x:c r="H38" s="38" t="str"/>
    </x:row>
    <x:row r="39" ht="24" customHeight="1">
      <x:c r="A39" s="42" t="str">
        <x:v>浅蓝</x:v>
      </x:c>
      <x:c r="B39" s="29" t="str">
        <x:v>公式/派生字段</x:v>
      </x:c>
      <x:c r="C39" s="29" t="str">
        <x:v>不要由采集器硬编码覆盖</x:v>
      </x:c>
      <x:c r="D39" s="38" t="str"/>
      <x:c r="E39" s="38" t="str"/>
      <x:c r="F39" s="38" t="str"/>
      <x:c r="G39" s="38" t="str"/>
      <x:c r="H39" s="38" t="str"/>
    </x:row>
    <x:row r="40" ht="24" customHeight="1">
      <x:c r="A40" s="43" t="str">
        <x:v>红/绿</x:v>
      </x:c>
      <x:c r="B40" s="29" t="str">
        <x:v>QA错误/通过</x:v>
      </x:c>
      <x:c r="C40" s="29" t="str">
        <x:v>红色必须处理或正式豁免</x:v>
      </x:c>
      <x:c r="D40" s="38" t="str"/>
      <x:c r="E40" s="38" t="str"/>
      <x:c r="F40" s="38" t="str"/>
      <x:c r="G40" s="38" t="str"/>
      <x:c r="H40" s="38" t="str"/>
    </x:row>
  </x:sheetData>
  <x:mergeCells>
    <x:mergeCell ref="A1:H2"/>
    <x:mergeCell ref="A3:H3"/>
    <x:mergeCell ref="A8:H9"/>
    <x:mergeCell ref="A11:H11"/>
    <x:mergeCell ref="A19:H19"/>
    <x:mergeCell ref="A29:H29"/>
    <x:mergeCell ref="A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4" hidden="0" customWidth="1"/>
    <x:col min="5" max="5" width="22" hidden="0" customWidth="1"/>
    <x:col min="6" max="6" width="24" hidden="0" customWidth="1"/>
    <x:col min="7" max="7" width="24" hidden="0" customWidth="1"/>
    <x:col min="8" max="8" width="24" hidden="0" customWidth="1"/>
    <x:col min="9" max="9" width="21" hidden="0" customWidth="1"/>
    <x:col min="10" max="10" width="18" hidden="0" customWidth="1"/>
    <x:col min="11" max="11" width="22" hidden="0" customWidth="1"/>
    <x:col min="12" max="12" width="15" hidden="0" customWidth="1"/>
    <x:col min="13" max="13" width="21" hidden="0" customWidth="1"/>
    <x:col min="14" max="14" width="21" hidden="0" customWidth="1"/>
    <x:col min="15" max="15" width="22" hidden="0" customWidth="1"/>
    <x:col min="16" max="16" width="18" hidden="0" customWidth="1"/>
    <x:col min="17" max="17" width="22" hidden="0" customWidth="1"/>
    <x:col min="18" max="18" width="18" hidden="0" customWidth="1"/>
    <x:col min="19" max="19" width="22" hidden="0" customWidth="1"/>
    <x:col min="20" max="20" width="18" hidden="0" customWidth="1"/>
    <x:col min="21" max="21" width="23" hidden="0" customWidth="1"/>
    <x:col min="22" max="22" width="24" hidden="0" customWidth="1"/>
    <x:col min="23" max="23" width="18" hidden="0" customWidth="1"/>
    <x:col min="24" max="24" width="24" hidden="0" customWidth="1"/>
    <x:col min="25" max="25" width="18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18" hidden="0" customWidth="1"/>
    <x:col min="31" max="31" width="15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5" hidden="0" customWidth="1"/>
    <x:col min="37" max="37" width="15" hidden="0" customWidth="1"/>
    <x:col min="38" max="38" width="18" hidden="0" customWidth="1"/>
    <x:col min="39" max="39" width="15" hidden="0" customWidth="1"/>
    <x:col min="40" max="40" width="18" hidden="0" customWidth="1"/>
    <x:col min="41" max="41" width="18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23" hidden="0" customWidth="1"/>
    <x:col min="48" max="48" width="23" hidden="0" customWidth="1"/>
    <x:col min="49" max="49" width="23" hidden="0" customWidth="1"/>
    <x:col min="50" max="50" width="18" hidden="0" customWidth="1"/>
    <x:col min="51" max="51" width="24" hidden="0" customWidth="1"/>
    <x:col min="52" max="52" width="34" hidden="0" customWidth="1"/>
  </x:cols>
  <x:sheetData>
    <x:row r="1" ht="34" customHeight="1">
      <x:c r="A1" s="49" t="str">
        <x:v>record_kind</x:v>
      </x:c>
      <x:c r="B1" s="49" t="str">
        <x:v>schema_version</x:v>
      </x:c>
      <x:c r="C1" s="49" t="str">
        <x:v>experiment_run_id</x:v>
      </x:c>
      <x:c r="D1" s="49" t="str">
        <x:v>dataset_version</x:v>
      </x:c>
      <x:c r="E1" s="49" t="str">
        <x:v>split_id</x:v>
      </x:c>
      <x:c r="F1" s="49" t="str">
        <x:v>trace_schema_version</x:v>
      </x:c>
      <x:c r="G1" s="49" t="str">
        <x:v>prompt_layout_version</x:v>
      </x:c>
      <x:c r="H1" s="49" t="str">
        <x:v>code_commit</x:v>
      </x:c>
      <x:c r="I1" s="49" t="str">
        <x:v>created_utc</x:v>
      </x:c>
      <x:c r="J1" s="49" t="str">
        <x:v>random_seed</x:v>
      </x:c>
      <x:c r="K1" s="49" t="str">
        <x:v>repetition_id</x:v>
      </x:c>
      <x:c r="L1" s="49" t="str">
        <x:v>warmup_request_count</x:v>
      </x:c>
      <x:c r="M1" s="49" t="str">
        <x:v>measurement_window_start_utc</x:v>
      </x:c>
      <x:c r="N1" s="49" t="str">
        <x:v>measurement_window_end_utc</x:v>
      </x:c>
      <x:c r="O1" s="49" t="str">
        <x:v>model_id</x:v>
      </x:c>
      <x:c r="P1" s="49" t="str">
        <x:v>model_revision</x:v>
      </x:c>
      <x:c r="Q1" s="49" t="str">
        <x:v>tokenizer_id</x:v>
      </x:c>
      <x:c r="R1" s="49" t="str">
        <x:v>tokenizer_revision</x:v>
      </x:c>
      <x:c r="S1" s="49" t="str">
        <x:v>adapter_id</x:v>
      </x:c>
      <x:c r="T1" s="49" t="str">
        <x:v>attention_type</x:v>
      </x:c>
      <x:c r="U1" s="49" t="str">
        <x:v>position_encoding</x:v>
      </x:c>
      <x:c r="V1" s="49" t="str">
        <x:v>rope_config_hash</x:v>
      </x:c>
      <x:c r="W1" s="49" t="str">
        <x:v>kv_dtype</x:v>
      </x:c>
      <x:c r="X1" s="49" t="str">
        <x:v>kv_layout_version</x:v>
      </x:c>
      <x:c r="Y1" s="49" t="str">
        <x:v>engine_name</x:v>
      </x:c>
      <x:c r="Z1" s="49" t="str">
        <x:v>engine_version</x:v>
      </x:c>
      <x:c r="AA1" s="49" t="str">
        <x:v>kernel_version</x:v>
      </x:c>
      <x:c r="AB1" s="49" t="str">
        <x:v>cuda_version</x:v>
      </x:c>
      <x:c r="AC1" s="49" t="str">
        <x:v>driver_version</x:v>
      </x:c>
      <x:c r="AD1" s="49" t="str">
        <x:v>gpu_model</x:v>
      </x:c>
      <x:c r="AE1" s="49" t="str">
        <x:v>gpu_count</x:v>
      </x:c>
      <x:c r="AF1" s="49" t="str">
        <x:v>tp_size</x:v>
      </x:c>
      <x:c r="AG1" s="49" t="str">
        <x:v>pp_size</x:v>
      </x:c>
      <x:c r="AH1" s="49" t="str">
        <x:v>dp_size</x:v>
      </x:c>
      <x:c r="AI1" s="49" t="str">
        <x:v>cpu_model</x:v>
      </x:c>
      <x:c r="AJ1" s="49" t="str">
        <x:v>cpu_count</x:v>
      </x:c>
      <x:c r="AK1" s="49" t="str">
        <x:v>dram_bytes</x:v>
      </x:c>
      <x:c r="AL1" s="49" t="str">
        <x:v>nvme_model</x:v>
      </x:c>
      <x:c r="AM1" s="49" t="str">
        <x:v>nvme_bytes</x:v>
      </x:c>
      <x:c r="AN1" s="49" t="str">
        <x:v>network_type</x:v>
      </x:c>
      <x:c r="AO1" s="49" t="str">
        <x:v>network_bandwidth_gbps</x:v>
      </x:c>
      <x:c r="AP1" s="49" t="str">
        <x:v>cache_block_tokens</x:v>
      </x:c>
      <x:c r="AQ1" s="49" t="str">
        <x:v>hbm_capacity_bytes</x:v>
      </x:c>
      <x:c r="AR1" s="49" t="str">
        <x:v>dram_capacity_bytes</x:v>
      </x:c>
      <x:c r="AS1" s="49" t="str">
        <x:v>ssd_capacity_bytes</x:v>
      </x:c>
      <x:c r="AT1" s="49" t="str">
        <x:v>remote_capacity_bytes</x:v>
      </x:c>
      <x:c r="AU1" s="49" t="str">
        <x:v>admission_policy</x:v>
      </x:c>
      <x:c r="AV1" s="49" t="str">
        <x:v>eviction_policy</x:v>
      </x:c>
      <x:c r="AW1" s="49" t="str">
        <x:v>prefetch_policy</x:v>
      </x:c>
      <x:c r="AX1" s="49" t="str">
        <x:v>privacy_mode</x:v>
      </x:c>
      <x:c r="AY1" s="49" t="str">
        <x:v>cost_rate_version</x:v>
      </x:c>
      <x:c r="AZ1" s="49" t="str">
        <x:v>notes</x:v>
      </x:c>
    </x:row>
    <x:row r="2" ht="44" customHeight="1">
      <x:c r="A2" s="50" t="str">
        <x:v>EXAMPLE</x:v>
      </x:c>
      <x:c r="B2" s="50" t="str">
        <x:v>1.0</x:v>
      </x:c>
      <x:c r="C2" s="50" t="str">
        <x:v>ex_run_001</x:v>
      </x:c>
      <x:c r="D2" s="50" t="str">
        <x:v>synthetic_demo_v1</x:v>
      </x:c>
      <x:c r="E2" s="50" t="str">
        <x:v>pilot</x:v>
      </x:c>
      <x:c r="F2" s="50" t="str">
        <x:v>1.0</x:v>
      </x:c>
      <x:c r="G2" s="50" t="str">
        <x:v>layout_v1</x:v>
      </x:c>
      <x:c r="H2" s="50" t="str">
        <x:v>example-not-a-real-commit</x:v>
      </x:c>
      <x:c r="I2" s="51" t="n">
        <x:v>46261.375</x:v>
      </x:c>
      <x:c r="J2" s="52" t="n">
        <x:v>42</x:v>
      </x:c>
      <x:c r="K2" s="52" t="n">
        <x:v>1</x:v>
      </x:c>
      <x:c r="L2" s="52" t="n">
        <x:v>0</x:v>
      </x:c>
      <x:c r="M2" s="51" t="n">
        <x:v>46261.37847222222</x:v>
      </x:c>
      <x:c r="N2" s="51" t="n">
        <x:v>46261.42013888889</x:v>
      </x:c>
      <x:c r="O2" s="50" t="str">
        <x:v>example-gqa-model</x:v>
      </x:c>
      <x:c r="P2" s="50" t="str">
        <x:v>example-rev</x:v>
      </x:c>
      <x:c r="Q2" s="50" t="str">
        <x:v>example-tokenizer</x:v>
      </x:c>
      <x:c r="R2" s="50" t="str">
        <x:v>example-rev</x:v>
      </x:c>
      <x:c r="S2" s="50" t="str">
        <x:v>none</x:v>
      </x:c>
      <x:c r="T2" s="50" t="str">
        <x:v>GQA</x:v>
      </x:c>
      <x:c r="U2" s="50" t="str">
        <x:v>RoPE/example</x:v>
      </x:c>
      <x:c r="V2" s="50" t="str">
        <x:v>sha256:EXAMPLE_ROPE</x:v>
      </x:c>
      <x:c r="W2" s="50" t="str">
        <x:v>BF16</x:v>
      </x:c>
      <x:c r="X2" s="50" t="str">
        <x:v>kv_layout_v1</x:v>
      </x:c>
      <x:c r="Y2" s="50" t="str">
        <x:v>example-engine</x:v>
      </x:c>
      <x:c r="Z2" s="50" t="str">
        <x:v>example-version</x:v>
      </x:c>
      <x:c r="AA2" s="50" t="str">
        <x:v>example-kernel</x:v>
      </x:c>
      <x:c r="AB2" s="50" t="str">
        <x:v>example-cuda</x:v>
      </x:c>
      <x:c r="AC2" s="50" t="str">
        <x:v>example-driver</x:v>
      </x:c>
      <x:c r="AD2" s="50" t="str">
        <x:v>example-gpu</x:v>
      </x:c>
      <x:c r="AE2" s="52" t="n">
        <x:v>1</x:v>
      </x:c>
      <x:c r="AF2" s="52" t="n">
        <x:v>1</x:v>
      </x:c>
      <x:c r="AG2" s="52" t="n">
        <x:v>1</x:v>
      </x:c>
      <x:c r="AH2" s="52" t="n">
        <x:v>1</x:v>
      </x:c>
      <x:c r="AI2" s="50" t="str">
        <x:v>example-cpu</x:v>
      </x:c>
      <x:c r="AJ2" s="52" t="n">
        <x:v>32</x:v>
      </x:c>
      <x:c r="AK2" s="52" t="n">
        <x:v>274877906944</x:v>
      </x:c>
      <x:c r="AL2" s="50" t="str">
        <x:v>example-nvme</x:v>
      </x:c>
      <x:c r="AM2" s="52" t="n">
        <x:v>2199023255552</x:v>
      </x:c>
      <x:c r="AN2" s="50" t="str">
        <x:v>PCIe/local</x:v>
      </x:c>
      <x:c r="AO2" s="53" t="n">
        <x:v>128</x:v>
      </x:c>
      <x:c r="AP2" s="52" t="n">
        <x:v>256</x:v>
      </x:c>
      <x:c r="AQ2" s="52" t="n">
        <x:v>17179869184</x:v>
      </x:c>
      <x:c r="AR2" s="52" t="n">
        <x:v>137438953472</x:v>
      </x:c>
      <x:c r="AS2" s="52" t="n">
        <x:v>1099511627776</x:v>
      </x:c>
      <x:c r="AT2" s="52" t="n">
        <x:v>0</x:v>
      </x:c>
      <x:c r="AU2" s="50" t="str">
        <x:v>benefit_v1</x:v>
      </x:c>
      <x:c r="AV2" s="50" t="str">
        <x:v>lru_baseline</x:v>
      </x:c>
      <x:c r="AW2" s="50" t="str">
        <x:v>none</x:v>
      </x:c>
      <x:c r="AX2" s="50" t="str">
        <x:v>M1_controlled_token</x:v>
      </x:c>
      <x:c r="AY2" s="50" t="str">
        <x:v>example_rate_v1</x:v>
      </x:c>
      <x:c r="AZ2" s="50" t="str">
        <x:v>示例配置；请复制为DATA并替换所有example值。</x:v>
      </x:c>
    </x:row>
  </x:sheetData>
  <x:dataValidations count="4">
    <x:dataValidation type="list" sqref="A2:A1000">
      <x:formula1>"DATA,EXAMPLE"</x:formula1>
    </x:dataValidation>
    <x:dataValidation type="list" sqref="T2:T1000">
      <x:formula1>"GQA,MLA,DSA,HYBRID,OTHER"</x:formula1>
    </x:dataValidation>
    <x:dataValidation type="list" sqref="W2:W1000">
      <x:formula1>"FP16,BF16,FP8,FP4,INT8,INT4,OTHER"</x:formula1>
    </x:dataValidation>
    <x:dataValidation type="list" sqref="AX2:AX1000">
      <x:formula1>"M0_metadata,M1_controlled_token,M2_secure_replay"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6f999059974b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8" hidden="0" customWidth="1"/>
    <x:col min="12" max="12" width="21" hidden="0" customWidth="1"/>
    <x:col min="13" max="13" width="18" hidden="0" customWidth="1"/>
    <x:col min="14" max="14" width="18" hidden="0" customWidth="1"/>
    <x:col min="15" max="15" width="18" hidden="0" customWidth="1"/>
    <x:col min="16" max="16" width="2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24" hidden="0" customWidth="1"/>
    <x:col min="23" max="23" width="15" hidden="0" customWidth="1"/>
    <x:col min="24" max="24" width="15" hidden="0" customWidth="1"/>
    <x:col min="25" max="25" width="24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8" hidden="0" customWidth="1"/>
    <x:col min="56" max="56" width="15" hidden="0" customWidth="1"/>
    <x:col min="57" max="57" width="18" hidden="0" customWidth="1"/>
    <x:col min="58" max="58" width="15" hidden="0" customWidth="1"/>
    <x:col min="59" max="59" width="18" hidden="0" customWidth="1"/>
    <x:col min="60" max="60" width="18" hidden="0" customWidth="1"/>
    <x:col min="61" max="61" width="18" hidden="0" customWidth="1"/>
    <x:col min="62" max="62" width="34" hidden="0" customWidth="1"/>
    <x:col min="63" max="63" width="18" hidden="0" customWidth="1"/>
    <x:col min="64" max="64" width="15" hidden="0" customWidth="1"/>
    <x:col min="65" max="65" width="15" hidden="0" customWidth="1"/>
    <x:col min="66" max="66" width="15" hidden="0" customWidth="1"/>
    <x:col min="67" max="67" width="18" hidden="0" customWidth="1"/>
    <x:col min="68" max="68" width="15" hidden="0" customWidth="1"/>
    <x:col min="69" max="69" width="23" hidden="0" customWidth="1"/>
    <x:col min="70" max="70" width="23" hidden="0" customWidth="1"/>
  </x:cols>
  <x:sheetData>
    <x:row r="1" ht="34" customHeight="1">
      <x:c r="A1" s="49" t="str">
        <x:v>record_kind</x:v>
      </x:c>
      <x:c r="B1" s="49" t="str">
        <x:v>schema_version</x:v>
      </x:c>
      <x:c r="C1" s="49" t="str">
        <x:v>trace_id</x:v>
      </x:c>
      <x:c r="D1" s="49" t="str">
        <x:v>experiment_run_id</x:v>
      </x:c>
      <x:c r="E1" s="49" t="str">
        <x:v>request_id</x:v>
      </x:c>
      <x:c r="F1" s="49" t="str">
        <x:v>baseline_request_id</x:v>
      </x:c>
      <x:c r="G1" s="49" t="str">
        <x:v>task_id</x:v>
      </x:c>
      <x:c r="H1" s="49" t="str">
        <x:v>session_id</x:v>
      </x:c>
      <x:c r="I1" s="49" t="str">
        <x:v>tenant_scope_id</x:v>
      </x:c>
      <x:c r="J1" s="49" t="str">
        <x:v>agent_id</x:v>
      </x:c>
      <x:c r="K1" s="49" t="str">
        <x:v>request_seq</x:v>
      </x:c>
      <x:c r="L1" s="49" t="str">
        <x:v>timestamp_utc</x:v>
      </x:c>
      <x:c r="M1" s="49" t="str">
        <x:v>scene_class</x:v>
      </x:c>
      <x:c r="N1" s="49" t="str">
        <x:v>workload_type</x:v>
      </x:c>
      <x:c r="O1" s="49" t="str">
        <x:v>reuse_scope</x:v>
      </x:c>
      <x:c r="P1" s="49" t="str">
        <x:v>cache_policy</x:v>
      </x:c>
      <x:c r="Q1" s="49" t="str">
        <x:v>cache_state</x:v>
      </x:c>
      <x:c r="R1" s="49" t="str">
        <x:v>hit_shape</x:v>
      </x:c>
      <x:c r="S1" s="49" t="str">
        <x:v>finish_status</x:v>
      </x:c>
      <x:c r="T1" s="49" t="str">
        <x:v>repo_pseudonym</x:v>
      </x:c>
      <x:c r="U1" s="49" t="str">
        <x:v>base_commit</x:v>
      </x:c>
      <x:c r="V1" s="49" t="str">
        <x:v>worktree_state_hash</x:v>
      </x:c>
      <x:c r="W1" s="49" t="str">
        <x:v>changed_file_count</x:v>
      </x:c>
      <x:c r="X1" s="49" t="str">
        <x:v>changed_token_ratio</x:v>
      </x:c>
      <x:c r="Y1" s="49" t="str">
        <x:v>prompt_layout_version</x:v>
      </x:c>
      <x:c r="Z1" s="49" t="str">
        <x:v>prompt_token_count</x:v>
      </x:c>
      <x:c r="AA1" s="49" t="str">
        <x:v>generated_token_count</x:v>
      </x:c>
      <x:c r="AB1" s="49" t="str">
        <x:v>prefix_match_token_count</x:v>
      </x:c>
      <x:c r="AC1" s="49" t="str">
        <x:v>eligible_prefix_token_count</x:v>
      </x:c>
      <x:c r="AD1" s="49" t="str">
        <x:v>logical_hit_token_count</x:v>
      </x:c>
      <x:c r="AE1" s="49" t="str">
        <x:v>effective_hit_token_count</x:v>
      </x:c>
      <x:c r="AF1" s="49" t="str">
        <x:v>negative_hit_token_count</x:v>
      </x:c>
      <x:c r="AG1" s="49" t="str">
        <x:v>hbm_hit_tokens</x:v>
      </x:c>
      <x:c r="AH1" s="49" t="str">
        <x:v>dram_hit_tokens</x:v>
      </x:c>
      <x:c r="AI1" s="49" t="str">
        <x:v>ssd_hit_tokens</x:v>
      </x:c>
      <x:c r="AJ1" s="49" t="str">
        <x:v>remote_hit_tokens</x:v>
      </x:c>
      <x:c r="AK1" s="49" t="str">
        <x:v>miss_tokens</x:v>
      </x:c>
      <x:c r="AL1" s="49" t="str">
        <x:v>queue_ms</x:v>
      </x:c>
      <x:c r="AM1" s="49" t="str">
        <x:v>tokenize_ms</x:v>
      </x:c>
      <x:c r="AN1" s="49" t="str">
        <x:v>cache_lookup_ms</x:v>
      </x:c>
      <x:c r="AO1" s="49" t="str">
        <x:v>cache_transfer_ms</x:v>
      </x:c>
      <x:c r="AP1" s="49" t="str">
        <x:v>cache_restore_ms</x:v>
      </x:c>
      <x:c r="AQ1" s="49" t="str">
        <x:v>prefill_compute_ms</x:v>
      </x:c>
      <x:c r="AR1" s="49" t="str">
        <x:v>engine_ttft_ms</x:v>
      </x:c>
      <x:c r="AS1" s="49" t="str">
        <x:v>e2e_ttft_ms</x:v>
      </x:c>
      <x:c r="AT1" s="49" t="str">
        <x:v>decode_ms</x:v>
      </x:c>
      <x:c r="AU1" s="49" t="str">
        <x:v>total_request_ms</x:v>
      </x:c>
      <x:c r="AV1" s="49" t="str">
        <x:v>gpu_time_ms</x:v>
      </x:c>
      <x:c r="AW1" s="49" t="str">
        <x:v>cpu_time_ms</x:v>
      </x:c>
      <x:c r="AX1" s="49" t="str">
        <x:v>cache_read_bytes</x:v>
      </x:c>
      <x:c r="AY1" s="49" t="str">
        <x:v>cache_write_bytes</x:v>
      </x:c>
      <x:c r="AZ1" s="49" t="str">
        <x:v>network_read_bytes</x:v>
      </x:c>
      <x:c r="BA1" s="49" t="str">
        <x:v>hbm_peak_bytes</x:v>
      </x:c>
      <x:c r="BB1" s="49" t="str">
        <x:v>dram_peak_bytes</x:v>
      </x:c>
      <x:c r="BC1" s="49" t="str">
        <x:v>system_cost_units</x:v>
      </x:c>
      <x:c r="BD1" s="49" t="str">
        <x:v>baseline_e2e_ttft_ms</x:v>
      </x:c>
      <x:c r="BE1" s="49" t="str">
        <x:v>baseline_cost_units</x:v>
      </x:c>
      <x:c r="BF1" s="49" t="str">
        <x:v>output_token_match_rate</x:v>
      </x:c>
      <x:c r="BG1" s="49" t="str">
        <x:v>logit_max_abs_error</x:v>
      </x:c>
      <x:c r="BH1" s="49" t="str">
        <x:v>task_success_flag</x:v>
      </x:c>
      <x:c r="BI1" s="49" t="str">
        <x:v>error_type</x:v>
      </x:c>
      <x:c r="BJ1" s="49" t="str">
        <x:v>notes</x:v>
      </x:c>
      <x:c r="BK1" s="49" t="str">
        <x:v>request_hit_flag</x:v>
      </x:c>
      <x:c r="BL1" s="49" t="str">
        <x:v>logical_token_hit_rate</x:v>
      </x:c>
      <x:c r="BM1" s="49" t="str">
        <x:v>effective_token_hit_rate</x:v>
      </x:c>
      <x:c r="BN1" s="49" t="str">
        <x:v>negative_hit_rate</x:v>
      </x:c>
      <x:c r="BO1" s="49" t="str">
        <x:v>ttft_gain</x:v>
      </x:c>
      <x:c r="BP1" s="49" t="str">
        <x:v>cost_ratio</x:v>
      </x:c>
      <x:c r="BQ1" s="49" t="str">
        <x:v>token_accounting_check</x:v>
      </x:c>
      <x:c r="BR1" s="49" t="str">
        <x:v>effective_consistency_check</x:v>
      </x:c>
    </x:row>
    <x:row r="2" ht="44" customHeight="1">
      <x:c r="A2" s="50" t="str">
        <x:v>EXAMPLE</x:v>
      </x:c>
      <x:c r="B2" s="50" t="str">
        <x:v>1.0</x:v>
      </x:c>
      <x:c r="C2" s="50" t="str">
        <x:v>ex_trace_001</x:v>
      </x:c>
      <x:c r="D2" s="50" t="str">
        <x:v>ex_run_001</x:v>
      </x:c>
      <x:c r="E2" s="50" t="str">
        <x:v>ex_req_cold_001</x:v>
      </x:c>
      <x:c r="F2" s="50" t="str"/>
      <x:c r="G2" s="50" t="str">
        <x:v>ex_task_001</x:v>
      </x:c>
      <x:c r="H2" s="50" t="str">
        <x:v>ex_session_001</x:v>
      </x:c>
      <x:c r="I2" s="50" t="str">
        <x:v>tenant_demo</x:v>
      </x:c>
      <x:c r="J2" s="50" t="str">
        <x:v>agent_demo</x:v>
      </x:c>
      <x:c r="K2" s="52" t="n">
        <x:v>1</x:v>
      </x:c>
      <x:c r="L2" s="51" t="n">
        <x:v>46261.37847222222</x:v>
      </x:c>
      <x:c r="M2" s="50" t="str">
        <x:v>code_agent</x:v>
      </x:c>
      <x:c r="N2" s="50" t="str">
        <x:v>bug_fix</x:v>
      </x:c>
      <x:c r="O2" s="50" t="str">
        <x:v>task</x:v>
      </x:c>
      <x:c r="P2" s="50" t="str">
        <x:v>B0_none</x:v>
      </x:c>
      <x:c r="Q2" s="50" t="str">
        <x:v>cold</x:v>
      </x:c>
      <x:c r="R2" s="50" t="str">
        <x:v>miss</x:v>
      </x:c>
      <x:c r="S2" s="50" t="str">
        <x:v>success</x:v>
      </x:c>
      <x:c r="T2" s="50" t="str">
        <x:v>repo_demo</x:v>
      </x:c>
      <x:c r="U2" s="50" t="str">
        <x:v>commit_demo_0</x:v>
      </x:c>
      <x:c r="V2" s="50" t="str">
        <x:v>sha256:EXAMPLE_TREE_0</x:v>
      </x:c>
      <x:c r="W2" s="52" t="n">
        <x:v>0</x:v>
      </x:c>
      <x:c r="X2" s="54" t="n">
        <x:v>0</x:v>
      </x:c>
      <x:c r="Y2" s="50" t="str">
        <x:v>layout_v1</x:v>
      </x:c>
      <x:c r="Z2" s="52" t="n">
        <x:v>12000</x:v>
      </x:c>
      <x:c r="AA2" s="52" t="n">
        <x:v>200</x:v>
      </x:c>
      <x:c r="AB2" s="52" t="n">
        <x:v>0</x:v>
      </x:c>
      <x:c r="AC2" s="52" t="n">
        <x:v>10000</x:v>
      </x:c>
      <x:c r="AD2" s="52" t="n">
        <x:v>0</x:v>
      </x:c>
      <x:c r="AE2" s="52" t="n">
        <x:v>0</x:v>
      </x:c>
      <x:c r="AF2" s="52" t="n">
        <x:v>0</x:v>
      </x:c>
      <x:c r="AG2" s="52" t="n">
        <x:v>0</x:v>
      </x:c>
      <x:c r="AH2" s="52" t="n">
        <x:v>0</x:v>
      </x:c>
      <x:c r="AI2" s="52" t="n">
        <x:v>0</x:v>
      </x:c>
      <x:c r="AJ2" s="52" t="n">
        <x:v>0</x:v>
      </x:c>
      <x:c r="AK2" s="52" t="n">
        <x:v>12000</x:v>
      </x:c>
      <x:c r="AL2" s="53" t="n">
        <x:v>10</x:v>
      </x:c>
      <x:c r="AM2" s="53" t="n">
        <x:v>12</x:v>
      </x:c>
      <x:c r="AN2" s="53" t="n">
        <x:v>0</x:v>
      </x:c>
      <x:c r="AO2" s="53" t="n">
        <x:v>0</x:v>
      </x:c>
      <x:c r="AP2" s="53" t="n">
        <x:v>0</x:v>
      </x:c>
      <x:c r="AQ2" s="53" t="n">
        <x:v>1950</x:v>
      </x:c>
      <x:c r="AR2" s="53" t="n">
        <x:v>2050</x:v>
      </x:c>
      <x:c r="AS2" s="53" t="n">
        <x:v>2100</x:v>
      </x:c>
      <x:c r="AT2" s="53" t="n">
        <x:v>300</x:v>
      </x:c>
      <x:c r="AU2" s="53" t="n">
        <x:v>2400</x:v>
      </x:c>
      <x:c r="AV2" s="53" t="n">
        <x:v>2100</x:v>
      </x:c>
      <x:c r="AW2" s="53" t="n">
        <x:v>20</x:v>
      </x:c>
      <x:c r="AX2" s="52" t="n">
        <x:v>0</x:v>
      </x:c>
      <x:c r="AY2" s="52" t="n">
        <x:v>192000000</x:v>
      </x:c>
      <x:c r="AZ2" s="52" t="n">
        <x:v>0</x:v>
      </x:c>
      <x:c r="BA2" s="52" t="n">
        <x:v>8000000000</x:v>
      </x:c>
      <x:c r="BB2" s="52" t="n">
        <x:v>1000000000</x:v>
      </x:c>
      <x:c r="BC2" s="53" t="n">
        <x:v>1</x:v>
      </x:c>
      <x:c r="BD2" s="53" t="n">
        <x:v>2100</x:v>
      </x:c>
      <x:c r="BE2" s="53" t="n">
        <x:v>1</x:v>
      </x:c>
      <x:c r="BF2" s="54" t="n">
        <x:v>1</x:v>
      </x:c>
      <x:c r="BG2" s="53" t="n">
        <x:v>0</x:v>
      </x:c>
      <x:c r="BH2" s="52" t="n">
        <x:v>1</x:v>
      </x:c>
      <x:c r="BI2" s="50" t="str"/>
      <x:c r="BJ2" s="50" t="str">
        <x:v>示例A：冷启动/无缓存。</x:v>
      </x:c>
      <x:c r="BK2" s="55" t="n">
        <x:f>IF(AD2&gt;0,1,0)</x:f>
        <x:v>0</x:v>
      </x:c>
      <x:c r="BL2" s="56" t="n">
        <x:f>IFERROR(AD2/Z2,0)</x:f>
        <x:v>0</x:v>
      </x:c>
      <x:c r="BM2" s="56" t="n">
        <x:f>IFERROR(AE2/Z2,0)</x:f>
        <x:v>0</x:v>
      </x:c>
      <x:c r="BN2" s="56" t="n">
        <x:f>IFERROR(AF2/AD2,0)</x:f>
        <x:v>0</x:v>
      </x:c>
      <x:c r="BO2" s="56" t="n">
        <x:f>IFERROR((BD2-AS2)/BD2,"")</x:f>
        <x:v>0</x:v>
      </x:c>
      <x:c r="BP2" s="56" t="n">
        <x:f>IFERROR(BC2/BE2,"")</x:f>
        <x:v>1</x:v>
      </x:c>
      <x:c r="BQ2" s="57" t="str">
        <x:f>IF(SUM(AG2:AK2)=Z2,"OK","ERROR")</x:f>
        <x:v>OK</x:v>
      </x:c>
      <x:c r="BR2" s="57" t="str">
        <x:f>IF(AND(AE2&lt;=AD2,AF2&lt;=AD2,AE2+AF2&lt;=AD2),"OK","ERROR")</x:f>
        <x:v>OK</x:v>
      </x:c>
    </x:row>
    <x:row r="3" ht="44" customHeight="1">
      <x:c r="A3" s="50" t="str">
        <x:v>EXAMPLE</x:v>
      </x:c>
      <x:c r="B3" s="50" t="str">
        <x:v>1.0</x:v>
      </x:c>
      <x:c r="C3" s="50" t="str">
        <x:v>ex_trace_001</x:v>
      </x:c>
      <x:c r="D3" s="50" t="str">
        <x:v>ex_run_001</x:v>
      </x:c>
      <x:c r="E3" s="50" t="str">
        <x:v>ex_req_dram_002</x:v>
      </x:c>
      <x:c r="F3" s="50" t="str">
        <x:v>ex_req_cold_001</x:v>
      </x:c>
      <x:c r="G3" s="50" t="str">
        <x:v>ex_task_001</x:v>
      </x:c>
      <x:c r="H3" s="50" t="str">
        <x:v>ex_session_001</x:v>
      </x:c>
      <x:c r="I3" s="50" t="str">
        <x:v>tenant_demo</x:v>
      </x:c>
      <x:c r="J3" s="50" t="str">
        <x:v>agent_demo</x:v>
      </x:c>
      <x:c r="K3" s="52" t="n">
        <x:v>2</x:v>
      </x:c>
      <x:c r="L3" s="51" t="n">
        <x:v>46261.379166666666</x:v>
      </x:c>
      <x:c r="M3" s="50" t="str">
        <x:v>code_agent</x:v>
      </x:c>
      <x:c r="N3" s="50" t="str">
        <x:v>debug_test</x:v>
      </x:c>
      <x:c r="O3" s="50" t="str">
        <x:v>task</x:v>
      </x:c>
      <x:c r="P3" s="50" t="str">
        <x:v>B2_exact_tiered</x:v>
      </x:c>
      <x:c r="Q3" s="50" t="str">
        <x:v>warm</x:v>
      </x:c>
      <x:c r="R3" s="50" t="str">
        <x:v>partial</x:v>
      </x:c>
      <x:c r="S3" s="50" t="str">
        <x:v>success</x:v>
      </x:c>
      <x:c r="T3" s="50" t="str">
        <x:v>repo_demo</x:v>
      </x:c>
      <x:c r="U3" s="50" t="str">
        <x:v>commit_demo_0</x:v>
      </x:c>
      <x:c r="V3" s="50" t="str">
        <x:v>sha256:EXAMPLE_TREE_1</x:v>
      </x:c>
      <x:c r="W3" s="52" t="n">
        <x:v>1</x:v>
      </x:c>
      <x:c r="X3" s="54" t="n">
        <x:v>0.02</x:v>
      </x:c>
      <x:c r="Y3" s="50" t="str">
        <x:v>layout_v1</x:v>
      </x:c>
      <x:c r="Z3" s="52" t="n">
        <x:v>12000</x:v>
      </x:c>
      <x:c r="AA3" s="52" t="n">
        <x:v>180</x:v>
      </x:c>
      <x:c r="AB3" s="52" t="n">
        <x:v>10000</x:v>
      </x:c>
      <x:c r="AC3" s="52" t="n">
        <x:v>10000</x:v>
      </x:c>
      <x:c r="AD3" s="52" t="n">
        <x:v>10000</x:v>
      </x:c>
      <x:c r="AE3" s="52" t="n">
        <x:v>10000</x:v>
      </x:c>
      <x:c r="AF3" s="52" t="n">
        <x:v>0</x:v>
      </x:c>
      <x:c r="AG3" s="52" t="n">
        <x:v>0</x:v>
      </x:c>
      <x:c r="AH3" s="52" t="n">
        <x:v>10000</x:v>
      </x:c>
      <x:c r="AI3" s="52" t="n">
        <x:v>0</x:v>
      </x:c>
      <x:c r="AJ3" s="52" t="n">
        <x:v>0</x:v>
      </x:c>
      <x:c r="AK3" s="52" t="n">
        <x:v>2000</x:v>
      </x:c>
      <x:c r="AL3" s="53" t="n">
        <x:v>5</x:v>
      </x:c>
      <x:c r="AM3" s="53" t="n">
        <x:v>10</x:v>
      </x:c>
      <x:c r="AN3" s="53" t="n">
        <x:v>2</x:v>
      </x:c>
      <x:c r="AO3" s="53" t="n">
        <x:v>30</x:v>
      </x:c>
      <x:c r="AP3" s="53" t="n">
        <x:v>5</x:v>
      </x:c>
      <x:c r="AQ3" s="53" t="n">
        <x:v>350</x:v>
      </x:c>
      <x:c r="AR3" s="53" t="n">
        <x:v>430</x:v>
      </x:c>
      <x:c r="AS3" s="53" t="n">
        <x:v>470</x:v>
      </x:c>
      <x:c r="AT3" s="53" t="n">
        <x:v>300</x:v>
      </x:c>
      <x:c r="AU3" s="53" t="n">
        <x:v>770</x:v>
      </x:c>
      <x:c r="AV3" s="53" t="n">
        <x:v>150</x:v>
      </x:c>
      <x:c r="AW3" s="53" t="n">
        <x:v>25</x:v>
      </x:c>
      <x:c r="AX3" s="52" t="n">
        <x:v>160000000</x:v>
      </x:c>
      <x:c r="AY3" s="52" t="n">
        <x:v>32000000</x:v>
      </x:c>
      <x:c r="AZ3" s="52" t="n">
        <x:v>0</x:v>
      </x:c>
      <x:c r="BA3" s="52" t="n">
        <x:v>5000000000</x:v>
      </x:c>
      <x:c r="BB3" s="52" t="n">
        <x:v>12000000000</x:v>
      </x:c>
      <x:c r="BC3" s="53" t="n">
        <x:v>0.28</x:v>
      </x:c>
      <x:c r="BD3" s="53" t="n">
        <x:v>2100</x:v>
      </x:c>
      <x:c r="BE3" s="53" t="n">
        <x:v>1</x:v>
      </x:c>
      <x:c r="BF3" s="54" t="n">
        <x:v>1</x:v>
      </x:c>
      <x:c r="BG3" s="53" t="n">
        <x:v>0</x:v>
      </x:c>
      <x:c r="BH3" s="52" t="n">
        <x:v>1</x:v>
      </x:c>
      <x:c r="BI3" s="50" t="str"/>
      <x:c r="BJ3" s="50" t="str">
        <x:v>示例B：DRAM有效命中。</x:v>
      </x:c>
      <x:c r="BK3" s="55" t="n">
        <x:f>IF(AD3&gt;0,1,0)</x:f>
        <x:v>1</x:v>
      </x:c>
      <x:c r="BL3" s="56" t="n">
        <x:f>IFERROR(AD3/Z3,0)</x:f>
        <x:v>0.8333333333333334</x:v>
      </x:c>
      <x:c r="BM3" s="56" t="n">
        <x:f>IFERROR(AE3/Z3,0)</x:f>
        <x:v>0.8333333333333334</x:v>
      </x:c>
      <x:c r="BN3" s="56" t="n">
        <x:f>IFERROR(AF3/AD3,0)</x:f>
        <x:v>0</x:v>
      </x:c>
      <x:c r="BO3" s="56" t="n">
        <x:f>IFERROR((BD3-AS3)/BD3,"")</x:f>
        <x:v>0.7761904761904762</x:v>
      </x:c>
      <x:c r="BP3" s="56" t="n">
        <x:f>IFERROR(BC3/BE3,"")</x:f>
        <x:v>0.28</x:v>
      </x:c>
      <x:c r="BQ3" s="57" t="str">
        <x:f>IF(SUM(AG3:AK3)=Z3,"OK","ERROR")</x:f>
        <x:v>OK</x:v>
      </x:c>
      <x:c r="BR3" s="57" t="str">
        <x:f>IF(AND(AE3&lt;=AD3,AF3&lt;=AD3,AE3+AF3&lt;=AD3),"OK","ERROR")</x:f>
        <x:v>OK</x:v>
      </x:c>
    </x:row>
    <x:row r="4" ht="44" customHeight="1">
      <x:c r="A4" s="50" t="str">
        <x:v>EXAMPLE</x:v>
      </x:c>
      <x:c r="B4" s="50" t="str">
        <x:v>1.0</x:v>
      </x:c>
      <x:c r="C4" s="50" t="str">
        <x:v>ex_trace_001</x:v>
      </x:c>
      <x:c r="D4" s="50" t="str">
        <x:v>ex_run_001</x:v>
      </x:c>
      <x:c r="E4" s="50" t="str">
        <x:v>ex_req_negative_003</x:v>
      </x:c>
      <x:c r="F4" s="50" t="str">
        <x:v>ex_req_cold_001</x:v>
      </x:c>
      <x:c r="G4" s="50" t="str">
        <x:v>ex_task_001</x:v>
      </x:c>
      <x:c r="H4" s="50" t="str">
        <x:v>ex_session_001</x:v>
      </x:c>
      <x:c r="I4" s="50" t="str">
        <x:v>tenant_demo</x:v>
      </x:c>
      <x:c r="J4" s="50" t="str">
        <x:v>agent_demo</x:v>
      </x:c>
      <x:c r="K4" s="52" t="n">
        <x:v>3</x:v>
      </x:c>
      <x:c r="L4" s="51" t="n">
        <x:v>46261.37986111111</x:v>
      </x:c>
      <x:c r="M4" s="50" t="str">
        <x:v>code_agent</x:v>
      </x:c>
      <x:c r="N4" s="50" t="str">
        <x:v>debug_test</x:v>
      </x:c>
      <x:c r="O4" s="50" t="str">
        <x:v>task</x:v>
      </x:c>
      <x:c r="P4" s="50" t="str">
        <x:v>B3_hierarchical</x:v>
      </x:c>
      <x:c r="Q4" s="50" t="str">
        <x:v>warm</x:v>
      </x:c>
      <x:c r="R4" s="50" t="str">
        <x:v>partial</x:v>
      </x:c>
      <x:c r="S4" s="50" t="str">
        <x:v>success</x:v>
      </x:c>
      <x:c r="T4" s="50" t="str">
        <x:v>repo_demo</x:v>
      </x:c>
      <x:c r="U4" s="50" t="str">
        <x:v>commit_demo_0</x:v>
      </x:c>
      <x:c r="V4" s="50" t="str">
        <x:v>sha256:EXAMPLE_TREE_1</x:v>
      </x:c>
      <x:c r="W4" s="52" t="n">
        <x:v>0</x:v>
      </x:c>
      <x:c r="X4" s="54" t="n">
        <x:v>0</x:v>
      </x:c>
      <x:c r="Y4" s="50" t="str">
        <x:v>layout_v1</x:v>
      </x:c>
      <x:c r="Z4" s="52" t="n">
        <x:v>12000</x:v>
      </x:c>
      <x:c r="AA4" s="52" t="n">
        <x:v>180</x:v>
      </x:c>
      <x:c r="AB4" s="52" t="n">
        <x:v>10000</x:v>
      </x:c>
      <x:c r="AC4" s="52" t="n">
        <x:v>10000</x:v>
      </x:c>
      <x:c r="AD4" s="52" t="n">
        <x:v>10000</x:v>
      </x:c>
      <x:c r="AE4" s="52" t="n">
        <x:v>0</x:v>
      </x:c>
      <x:c r="AF4" s="52" t="n">
        <x:v>10000</x:v>
      </x:c>
      <x:c r="AG4" s="52" t="n">
        <x:v>0</x:v>
      </x:c>
      <x:c r="AH4" s="52" t="n">
        <x:v>0</x:v>
      </x:c>
      <x:c r="AI4" s="52" t="n">
        <x:v>10000</x:v>
      </x:c>
      <x:c r="AJ4" s="52" t="n">
        <x:v>0</x:v>
      </x:c>
      <x:c r="AK4" s="52" t="n">
        <x:v>2000</x:v>
      </x:c>
      <x:c r="AL4" s="53" t="n">
        <x:v>5</x:v>
      </x:c>
      <x:c r="AM4" s="53" t="n">
        <x:v>10</x:v>
      </x:c>
      <x:c r="AN4" s="53" t="n">
        <x:v>3</x:v>
      </x:c>
      <x:c r="AO4" s="53" t="n">
        <x:v>900</x:v>
      </x:c>
      <x:c r="AP4" s="53" t="n">
        <x:v>100</x:v>
      </x:c>
      <x:c r="AQ4" s="53" t="n">
        <x:v>350</x:v>
      </x:c>
      <x:c r="AR4" s="53" t="n">
        <x:v>1410</x:v>
      </x:c>
      <x:c r="AS4" s="53" t="n">
        <x:v>1450</x:v>
      </x:c>
      <x:c r="AT4" s="53" t="n">
        <x:v>300</x:v>
      </x:c>
      <x:c r="AU4" s="53" t="n">
        <x:v>1750</x:v>
      </x:c>
      <x:c r="AV4" s="53" t="n">
        <x:v>250</x:v>
      </x:c>
      <x:c r="AW4" s="53" t="n">
        <x:v>200</x:v>
      </x:c>
      <x:c r="AX4" s="52" t="n">
        <x:v>160000000</x:v>
      </x:c>
      <x:c r="AY4" s="52" t="n">
        <x:v>32000000</x:v>
      </x:c>
      <x:c r="AZ4" s="52" t="n">
        <x:v>0</x:v>
      </x:c>
      <x:c r="BA4" s="52" t="n">
        <x:v>5000000000</x:v>
      </x:c>
      <x:c r="BB4" s="52" t="n">
        <x:v>4000000000</x:v>
      </x:c>
      <x:c r="BC4" s="53" t="n">
        <x:v>1.2</x:v>
      </x:c>
      <x:c r="BD4" s="53" t="n">
        <x:v>1200</x:v>
      </x:c>
      <x:c r="BE4" s="53" t="n">
        <x:v>1</x:v>
      </x:c>
      <x:c r="BF4" s="54" t="n">
        <x:v>1</x:v>
      </x:c>
      <x:c r="BG4" s="53" t="n">
        <x:v>0</x:v>
      </x:c>
      <x:c r="BH4" s="52" t="n">
        <x:v>1</x:v>
      </x:c>
      <x:c r="BI4" s="50" t="str"/>
      <x:c r="BJ4" s="50" t="str">
        <x:v>示例C：逻辑命中但SSD读取慢于重算。</x:v>
      </x:c>
      <x:c r="BK4" s="55" t="n">
        <x:f>IF(AD4&gt;0,1,0)</x:f>
        <x:v>1</x:v>
      </x:c>
      <x:c r="BL4" s="56" t="n">
        <x:f>IFERROR(AD4/Z4,0)</x:f>
        <x:v>0.8333333333333334</x:v>
      </x:c>
      <x:c r="BM4" s="56" t="n">
        <x:f>IFERROR(AE4/Z4,0)</x:f>
        <x:v>0</x:v>
      </x:c>
      <x:c r="BN4" s="56" t="n">
        <x:f>IFERROR(AF4/AD4,0)</x:f>
        <x:v>1</x:v>
      </x:c>
      <x:c r="BO4" s="56" t="n">
        <x:f>IFERROR((BD4-AS4)/BD4,"")</x:f>
        <x:v>-0.20833333333333334</x:v>
      </x:c>
      <x:c r="BP4" s="56" t="n">
        <x:f>IFERROR(BC4/BE4,"")</x:f>
        <x:v>1.2</x:v>
      </x:c>
      <x:c r="BQ4" s="57" t="str">
        <x:f>IF(SUM(AG4:AK4)=Z4,"OK","ERROR")</x:f>
        <x:v>OK</x:v>
      </x:c>
      <x:c r="BR4" s="57" t="str">
        <x:f>IF(AND(AE4&lt;=AD4,AF4&lt;=AD4,AE4+AF4&lt;=AD4),"OK","ERROR")</x:f>
        <x:v>OK</x:v>
      </x:c>
    </x:row>
  </x:sheetData>
  <x:conditionalFormatting sqref="BQ2:BQ1000">
    <x:cfRule type="containsText" dxfId="0" priority="1" operator="containsText" text="ERROR"/>
    <x:cfRule type="containsText" dxfId="1" priority="2" operator="containsText" text="OK"/>
  </x:conditionalFormatting>
  <x:conditionalFormatting sqref="BR2:BR1000">
    <x:cfRule type="containsText" dxfId="2" priority="3" operator="containsText" text="ERROR"/>
    <x:cfRule type="containsText" dxfId="3" priority="4" operator="containsText" text="OK"/>
  </x:conditionalFormatting>
  <x:dataValidations count="9">
    <x:dataValidation type="list" sqref="A2:A1000">
      <x:formula1>"DATA,EXAMPLE"</x:formula1>
    </x:dataValidation>
    <x:dataValidation type="list" sqref="M2:M1000">
      <x:formula1>"general,code_agent"</x:formula1>
    </x:dataValidation>
    <x:dataValidation type="list" sqref="N2:N1000">
      <x:formula1>"bug_fix,debug_test,code_review,repo_understanding,refactor,other"</x:formula1>
    </x:dataValidation>
    <x:dataValidation type="list" sqref="O2:O1000">
      <x:formula1>"task,session,repo,platform"</x:formula1>
    </x:dataValidation>
    <x:dataValidation type="list" sqref="P2:P1000">
      <x:formula1>"B0_none,B1_engine_prefix,B2_exact_tiered,B3_hierarchical,R1_layout,R2_research"</x:formula1>
    </x:dataValidation>
    <x:dataValidation type="list" sqref="Q2:Q1000">
      <x:formula1>"cold,warm,steady"</x:formula1>
    </x:dataValidation>
    <x:dataValidation type="list" sqref="R2:R1000">
      <x:formula1>"full,partial,miss,bypass"</x:formula1>
    </x:dataValidation>
    <x:dataValidation type="list" sqref="S2:S1000">
      <x:formula1>"success,error,timeout,cancelled,degraded"</x:formula1>
    </x:dataValidation>
    <x:dataValidation type="list" sqref="BH2:BH10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7f1e0ff3a041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8" hidden="0" customWidth="1"/>
    <x:col min="16" max="16" width="18" hidden="0" customWidth="1"/>
    <x:col min="17" max="17" width="15" hidden="0" customWidth="1"/>
    <x:col min="18" max="18" width="18" hidden="0" customWidth="1"/>
    <x:col min="19" max="19" width="18" hidden="0" customWidth="1"/>
    <x:col min="20" max="20" width="18" hidden="0" customWidth="1"/>
    <x:col min="21" max="21" width="22" hidden="0" customWidth="1"/>
    <x:col min="22" max="22" width="24" hidden="0" customWidth="1"/>
    <x:col min="23" max="23" width="22" hidden="0" customWidth="1"/>
    <x:col min="24" max="24" width="34" hidden="0" customWidth="1"/>
    <x:col min="25" max="25" width="23" hidden="0" customWidth="1"/>
  </x:cols>
  <x:sheetData>
    <x:row r="1" ht="34" customHeight="1">
      <x:c r="A1" s="49" t="str">
        <x:v>record_kind</x:v>
      </x:c>
      <x:c r="B1" s="49" t="str">
        <x:v>schema_version</x:v>
      </x:c>
      <x:c r="C1" s="49" t="str">
        <x:v>trace_id</x:v>
      </x:c>
      <x:c r="D1" s="49" t="str">
        <x:v>request_id</x:v>
      </x:c>
      <x:c r="E1" s="49" t="str">
        <x:v>segment_id</x:v>
      </x:c>
      <x:c r="F1" s="49" t="str">
        <x:v>segment_order</x:v>
      </x:c>
      <x:c r="G1" s="49" t="str">
        <x:v>component_type</x:v>
      </x:c>
      <x:c r="H1" s="49" t="str">
        <x:v>stable_scope</x:v>
      </x:c>
      <x:c r="I1" s="49" t="str">
        <x:v>sensitivity_class</x:v>
      </x:c>
      <x:c r="J1" s="49" t="str">
        <x:v>source_ref_pseudonym</x:v>
      </x:c>
      <x:c r="K1" s="49" t="str">
        <x:v>content_version</x:v>
      </x:c>
      <x:c r="L1" s="49" t="str">
        <x:v>content_hash_salted</x:v>
      </x:c>
      <x:c r="M1" s="49" t="str">
        <x:v>token_ids_ref</x:v>
      </x:c>
      <x:c r="N1" s="49" t="str">
        <x:v>raw_content_ref</x:v>
      </x:c>
      <x:c r="O1" s="49" t="str">
        <x:v>token_start_inclusive</x:v>
      </x:c>
      <x:c r="P1" s="49" t="str">
        <x:v>token_end_exclusive</x:v>
      </x:c>
      <x:c r="Q1" s="49" t="str">
        <x:v>token_count</x:v>
      </x:c>
      <x:c r="R1" s="49" t="str">
        <x:v>is_prefix_contiguous</x:v>
      </x:c>
      <x:c r="S1" s="49" t="str">
        <x:v>canonical_order_key</x:v>
      </x:c>
      <x:c r="T1" s="49" t="str">
        <x:v>changed_since_prior</x:v>
      </x:c>
      <x:c r="U1" s="49" t="str">
        <x:v>prior_segment_id</x:v>
      </x:c>
      <x:c r="V1" s="49" t="str">
        <x:v>prefix_dependency_hash</x:v>
      </x:c>
      <x:c r="W1" s="49" t="str">
        <x:v>compatibility_domain_id</x:v>
      </x:c>
      <x:c r="X1" s="49" t="str">
        <x:v>notes</x:v>
      </x:c>
      <x:c r="Y1" s="49" t="str">
        <x:v>boundary_check</x:v>
      </x:c>
    </x:row>
    <x:row r="2" ht="44" customHeight="1">
      <x:c r="A2" s="50" t="str">
        <x:v>EXAMPLE</x:v>
      </x:c>
      <x:c r="B2" s="50" t="str">
        <x:v>1.0</x:v>
      </x:c>
      <x:c r="C2" s="50" t="str">
        <x:v>ex_trace_001</x:v>
      </x:c>
      <x:c r="D2" s="50" t="str">
        <x:v>ex_req_dram_002</x:v>
      </x:c>
      <x:c r="E2" s="50" t="str">
        <x:v>ex_seg_001</x:v>
      </x:c>
      <x:c r="F2" s="52" t="n">
        <x:v>1</x:v>
      </x:c>
      <x:c r="G2" s="50" t="str">
        <x:v>system</x:v>
      </x:c>
      <x:c r="H2" s="50" t="str">
        <x:v>platform</x:v>
      </x:c>
      <x:c r="I2" s="50" t="str">
        <x:v>internal</x:v>
      </x:c>
      <x:c r="J2" s="50" t="str">
        <x:v>system:v1</x:v>
      </x:c>
      <x:c r="K2" s="50" t="str">
        <x:v>v1</x:v>
      </x:c>
      <x:c r="L2" s="50" t="str">
        <x:v>sha256:EXAMPLE_SEG_1</x:v>
      </x:c>
      <x:c r="M2" s="50" t="str">
        <x:v>secure://example/tokens/1</x:v>
      </x:c>
      <x:c r="N2" s="50" t="str"/>
      <x:c r="O2" s="52" t="n">
        <x:v>0</x:v>
      </x:c>
      <x:c r="P2" s="52" t="n">
        <x:v>800</x:v>
      </x:c>
      <x:c r="Q2" s="55" t="n">
        <x:f>P2-O2</x:f>
        <x:v>800</x:v>
      </x:c>
      <x:c r="R2" s="50" t="n">
        <x:v>1</x:v>
      </x:c>
      <x:c r="S2" s="50" t="str">
        <x:v>010_system</x:v>
      </x:c>
      <x:c r="T2" s="50" t="n">
        <x:v>0</x:v>
      </x:c>
      <x:c r="U2" s="50" t="str"/>
      <x:c r="V2" s="50" t="str">
        <x:v>sha256:EXAMPLE_DEP_1</x:v>
      </x:c>
      <x:c r="W2" s="50" t="str">
        <x:v>compat_demo_v1</x:v>
      </x:c>
      <x:c r="X2" s="50" t="str">
        <x:v>系统指令示例。</x:v>
      </x:c>
      <x:c r="Y2" s="57" t="str">
        <x:f>IF(AND(O2&gt;=0,P2&gt;=O2),"OK","ERROR")</x:f>
        <x:v>OK</x:v>
      </x:c>
    </x:row>
    <x:row r="3" ht="44" customHeight="1">
      <x:c r="A3" s="50" t="str">
        <x:v>EXAMPLE</x:v>
      </x:c>
      <x:c r="B3" s="50" t="str">
        <x:v>1.0</x:v>
      </x:c>
      <x:c r="C3" s="50" t="str">
        <x:v>ex_trace_001</x:v>
      </x:c>
      <x:c r="D3" s="50" t="str">
        <x:v>ex_req_dram_002</x:v>
      </x:c>
      <x:c r="E3" s="50" t="str">
        <x:v>ex_seg_002</x:v>
      </x:c>
      <x:c r="F3" s="52" t="n">
        <x:v>2</x:v>
      </x:c>
      <x:c r="G3" s="50" t="str">
        <x:v>tool_schema</x:v>
      </x:c>
      <x:c r="H3" s="50" t="str">
        <x:v>platform</x:v>
      </x:c>
      <x:c r="I3" s="50" t="str">
        <x:v>internal</x:v>
      </x:c>
      <x:c r="J3" s="50" t="str">
        <x:v>tools:v1</x:v>
      </x:c>
      <x:c r="K3" s="50" t="str">
        <x:v>v1</x:v>
      </x:c>
      <x:c r="L3" s="50" t="str">
        <x:v>sha256:EXAMPLE_SEG_2</x:v>
      </x:c>
      <x:c r="M3" s="50" t="str">
        <x:v>secure://example/tokens/2</x:v>
      </x:c>
      <x:c r="N3" s="50" t="str"/>
      <x:c r="O3" s="52" t="n">
        <x:v>800</x:v>
      </x:c>
      <x:c r="P3" s="52" t="n">
        <x:v>2600</x:v>
      </x:c>
      <x:c r="Q3" s="55" t="n">
        <x:f>P3-O3</x:f>
        <x:v>1800</x:v>
      </x:c>
      <x:c r="R3" s="50" t="n">
        <x:v>1</x:v>
      </x:c>
      <x:c r="S3" s="50" t="str">
        <x:v>020_tools</x:v>
      </x:c>
      <x:c r="T3" s="50" t="n">
        <x:v>0</x:v>
      </x:c>
      <x:c r="U3" s="50" t="str"/>
      <x:c r="V3" s="50" t="str">
        <x:v>sha256:EXAMPLE_DEP_2</x:v>
      </x:c>
      <x:c r="W3" s="50" t="str">
        <x:v>compat_demo_v1</x:v>
      </x:c>
      <x:c r="X3" s="50" t="str">
        <x:v>工具Schema示例。</x:v>
      </x:c>
      <x:c r="Y3" s="57" t="str">
        <x:f>IF(AND(O3&gt;=0,P3&gt;=O3),"OK","ERROR")</x:f>
        <x:v>OK</x:v>
      </x:c>
    </x:row>
    <x:row r="4" ht="44" customHeight="1">
      <x:c r="A4" s="50" t="str">
        <x:v>EXAMPLE</x:v>
      </x:c>
      <x:c r="B4" s="50" t="str">
        <x:v>1.0</x:v>
      </x:c>
      <x:c r="C4" s="50" t="str">
        <x:v>ex_trace_001</x:v>
      </x:c>
      <x:c r="D4" s="50" t="str">
        <x:v>ex_req_dram_002</x:v>
      </x:c>
      <x:c r="E4" s="50" t="str">
        <x:v>ex_seg_003</x:v>
      </x:c>
      <x:c r="F4" s="52" t="n">
        <x:v>3</x:v>
      </x:c>
      <x:c r="G4" s="50" t="str">
        <x:v>repo_rule</x:v>
      </x:c>
      <x:c r="H4" s="50" t="str">
        <x:v>repo</x:v>
      </x:c>
      <x:c r="I4" s="50" t="str">
        <x:v>confidential</x:v>
      </x:c>
      <x:c r="J4" s="50" t="str">
        <x:v>repo_rule:demo</x:v>
      </x:c>
      <x:c r="K4" s="50" t="str">
        <x:v>commit_demo_0</x:v>
      </x:c>
      <x:c r="L4" s="50" t="str">
        <x:v>sha256:EXAMPLE_SEG_3</x:v>
      </x:c>
      <x:c r="M4" s="50" t="str">
        <x:v>secure://example/tokens/3</x:v>
      </x:c>
      <x:c r="N4" s="50" t="str"/>
      <x:c r="O4" s="52" t="n">
        <x:v>2600</x:v>
      </x:c>
      <x:c r="P4" s="52" t="n">
        <x:v>3400</x:v>
      </x:c>
      <x:c r="Q4" s="55" t="n">
        <x:f>P4-O4</x:f>
        <x:v>800</x:v>
      </x:c>
      <x:c r="R4" s="50" t="n">
        <x:v>1</x:v>
      </x:c>
      <x:c r="S4" s="50" t="str">
        <x:v>030_repo_rule</x:v>
      </x:c>
      <x:c r="T4" s="50" t="n">
        <x:v>0</x:v>
      </x:c>
      <x:c r="U4" s="50" t="str"/>
      <x:c r="V4" s="50" t="str">
        <x:v>sha256:EXAMPLE_DEP_3</x:v>
      </x:c>
      <x:c r="W4" s="50" t="str">
        <x:v>compat_demo_v1</x:v>
      </x:c>
      <x:c r="X4" s="50" t="str">
        <x:v>仓库规则示例。</x:v>
      </x:c>
      <x:c r="Y4" s="57" t="str">
        <x:f>IF(AND(O4&gt;=0,P4&gt;=O4),"OK","ERROR")</x:f>
        <x:v>OK</x:v>
      </x:c>
    </x:row>
    <x:row r="5" ht="44" customHeight="1">
      <x:c r="A5" s="50" t="str">
        <x:v>EXAMPLE</x:v>
      </x:c>
      <x:c r="B5" s="50" t="str">
        <x:v>1.0</x:v>
      </x:c>
      <x:c r="C5" s="50" t="str">
        <x:v>ex_trace_001</x:v>
      </x:c>
      <x:c r="D5" s="50" t="str">
        <x:v>ex_req_dram_002</x:v>
      </x:c>
      <x:c r="E5" s="50" t="str">
        <x:v>ex_seg_004</x:v>
      </x:c>
      <x:c r="F5" s="52" t="n">
        <x:v>4</x:v>
      </x:c>
      <x:c r="G5" s="50" t="str">
        <x:v>file</x:v>
      </x:c>
      <x:c r="H5" s="50" t="str">
        <x:v>repo</x:v>
      </x:c>
      <x:c r="I5" s="50" t="str">
        <x:v>restricted</x:v>
      </x:c>
      <x:c r="J5" s="50" t="str">
        <x:v>pathhash:EXAMPLE_FILE</x:v>
      </x:c>
      <x:c r="K5" s="50" t="str">
        <x:v>commit_demo_0</x:v>
      </x:c>
      <x:c r="L5" s="50" t="str">
        <x:v>sha256:EXAMPLE_SEG_4</x:v>
      </x:c>
      <x:c r="M5" s="50" t="str">
        <x:v>secure://example/tokens/4</x:v>
      </x:c>
      <x:c r="N5" s="50" t="str"/>
      <x:c r="O5" s="52" t="n">
        <x:v>3400</x:v>
      </x:c>
      <x:c r="P5" s="52" t="n">
        <x:v>10000</x:v>
      </x:c>
      <x:c r="Q5" s="55" t="n">
        <x:f>P5-O5</x:f>
        <x:v>6600</x:v>
      </x:c>
      <x:c r="R5" s="50" t="n">
        <x:v>1</x:v>
      </x:c>
      <x:c r="S5" s="50" t="str">
        <x:v>040_file_001</x:v>
      </x:c>
      <x:c r="T5" s="50" t="n">
        <x:v>0</x:v>
      </x:c>
      <x:c r="U5" s="50" t="str"/>
      <x:c r="V5" s="50" t="str">
        <x:v>sha256:EXAMPLE_DEP_4</x:v>
      </x:c>
      <x:c r="W5" s="50" t="str">
        <x:v>compat_demo_v1</x:v>
      </x:c>
      <x:c r="X5" s="50" t="str">
        <x:v>未修改代码文件示例。</x:v>
      </x:c>
      <x:c r="Y5" s="57" t="str">
        <x:f>IF(AND(O5&gt;=0,P5&gt;=O5),"OK","ERROR")</x:f>
        <x:v>OK</x:v>
      </x:c>
    </x:row>
    <x:row r="6" ht="44" customHeight="1">
      <x:c r="A6" s="50" t="str">
        <x:v>EXAMPLE</x:v>
      </x:c>
      <x:c r="B6" s="50" t="str">
        <x:v>1.0</x:v>
      </x:c>
      <x:c r="C6" s="50" t="str">
        <x:v>ex_trace_001</x:v>
      </x:c>
      <x:c r="D6" s="50" t="str">
        <x:v>ex_req_dram_002</x:v>
      </x:c>
      <x:c r="E6" s="50" t="str">
        <x:v>ex_seg_005</x:v>
      </x:c>
      <x:c r="F6" s="52" t="n">
        <x:v>5</x:v>
      </x:c>
      <x:c r="G6" s="50" t="str">
        <x:v>current_task</x:v>
      </x:c>
      <x:c r="H6" s="50" t="str">
        <x:v>request</x:v>
      </x:c>
      <x:c r="I6" s="50" t="str">
        <x:v>confidential</x:v>
      </x:c>
      <x:c r="J6" s="50" t="str">
        <x:v>task:demo</x:v>
      </x:c>
      <x:c r="K6" s="50" t="str">
        <x:v>v2</x:v>
      </x:c>
      <x:c r="L6" s="50" t="str">
        <x:v>sha256:EXAMPLE_SEG_5</x:v>
      </x:c>
      <x:c r="M6" s="50" t="str">
        <x:v>secure://example/tokens/5</x:v>
      </x:c>
      <x:c r="N6" s="50" t="str"/>
      <x:c r="O6" s="52" t="n">
        <x:v>10000</x:v>
      </x:c>
      <x:c r="P6" s="52" t="n">
        <x:v>12000</x:v>
      </x:c>
      <x:c r="Q6" s="55" t="n">
        <x:f>P6-O6</x:f>
        <x:v>2000</x:v>
      </x:c>
      <x:c r="R6" s="50" t="n">
        <x:v>1</x:v>
      </x:c>
      <x:c r="S6" s="50" t="str">
        <x:v>900_current_task</x:v>
      </x:c>
      <x:c r="T6" s="50" t="n">
        <x:v>1</x:v>
      </x:c>
      <x:c r="U6" s="50" t="str"/>
      <x:c r="V6" s="50" t="str">
        <x:v>sha256:EXAMPLE_DEP_5</x:v>
      </x:c>
      <x:c r="W6" s="50" t="str">
        <x:v>compat_demo_v1</x:v>
      </x:c>
      <x:c r="X6" s="50" t="str">
        <x:v>动态后缀示例。</x:v>
      </x:c>
      <x:c r="Y6" s="57" t="str">
        <x:f>IF(AND(O6&gt;=0,P6&gt;=O6),"OK","ERROR")</x:f>
        <x:v>OK</x:v>
      </x:c>
    </x:row>
  </x:sheetData>
  <x:conditionalFormatting sqref="Y2:Y1000">
    <x:cfRule type="containsText" dxfId="4" priority="1" operator="containsText" text="ERROR"/>
    <x:cfRule type="containsText" dxfId="5" priority="2" operator="containsText" text="OK"/>
  </x:conditionalFormatting>
  <x:dataValidations count="6">
    <x:dataValidation type="list" sqref="A2:A1000">
      <x:formula1>"DATA,EXAMPLE"</x:formula1>
    </x:dataValidation>
    <x:dataValidation type="list" sqref="G2:G1000">
      <x:formula1>"system,tool_schema,agent_rule,repo_rule,file,history,tool_result,current_task,diff,other"</x:formula1>
    </x:dataValidation>
    <x:dataValidation type="list" sqref="H2:H1000">
      <x:formula1>"platform,agent,repo,session,task,request"</x:formula1>
    </x:dataValidation>
    <x:dataValidation type="list" sqref="I2:I1000">
      <x:formula1>"public,internal,confidential,restricted"</x:formula1>
    </x:dataValidation>
    <x:dataValidation type="list" sqref="R2:R1000">
      <x:formula1>"0,1"</x:formula1>
    </x:dataValidation>
    <x:dataValidation type="list" sqref="T2:T10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a50972ac144b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22" hidden="0" customWidth="1"/>
    <x:col min="13" max="13" width="18" hidden="0" customWidth="1"/>
    <x:col min="14" max="14" width="18" hidden="0" customWidth="1"/>
    <x:col min="15" max="15" width="15" hidden="0" customWidth="1"/>
    <x:col min="16" max="16" width="18" hidden="0" customWidth="1"/>
    <x:col min="17" max="17" width="18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8" hidden="0" customWidth="1"/>
    <x:col min="23" max="23" width="18" hidden="0" customWidth="1"/>
    <x:col min="24" max="24" width="22" hidden="0" customWidth="1"/>
    <x:col min="25" max="25" width="22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</x:cols>
  <x:sheetData>
    <x:row r="1" ht="34" customHeight="1">
      <x:c r="A1" s="49" t="str">
        <x:v>record_kind</x:v>
      </x:c>
      <x:c r="B1" s="49" t="str">
        <x:v>schema_version</x:v>
      </x:c>
      <x:c r="C1" s="49" t="str">
        <x:v>trace_id</x:v>
      </x:c>
      <x:c r="D1" s="49" t="str">
        <x:v>request_id</x:v>
      </x:c>
      <x:c r="E1" s="49" t="str">
        <x:v>cache_event_id</x:v>
      </x:c>
      <x:c r="F1" s="49" t="str">
        <x:v>event_seq</x:v>
      </x:c>
      <x:c r="G1" s="49" t="str">
        <x:v>timestamp_utc</x:v>
      </x:c>
      <x:c r="H1" s="49" t="str">
        <x:v>operation</x:v>
      </x:c>
      <x:c r="I1" s="49" t="str">
        <x:v>cache_tier</x:v>
      </x:c>
      <x:c r="J1" s="49" t="str">
        <x:v>hit_status</x:v>
      </x:c>
      <x:c r="K1" s="49" t="str">
        <x:v>cache_key_hash</x:v>
      </x:c>
      <x:c r="L1" s="49" t="str">
        <x:v>block_id</x:v>
      </x:c>
      <x:c r="M1" s="49" t="str">
        <x:v>token_start_inclusive</x:v>
      </x:c>
      <x:c r="N1" s="49" t="str">
        <x:v>token_end_exclusive</x:v>
      </x:c>
      <x:c r="O1" s="49" t="str">
        <x:v>token_count</x:v>
      </x:c>
      <x:c r="P1" s="49" t="str">
        <x:v>bytes_read</x:v>
      </x:c>
      <x:c r="Q1" s="49" t="str">
        <x:v>bytes_written</x:v>
      </x:c>
      <x:c r="R1" s="49" t="str">
        <x:v>lookup_ms</x:v>
      </x:c>
      <x:c r="S1" s="49" t="str">
        <x:v>transfer_ms</x:v>
      </x:c>
      <x:c r="T1" s="49" t="str">
        <x:v>restore_ms</x:v>
      </x:c>
      <x:c r="U1" s="49" t="str">
        <x:v>recompute_estimate_ms</x:v>
      </x:c>
      <x:c r="V1" s="49" t="str">
        <x:v>effective_hit_flag</x:v>
      </x:c>
      <x:c r="W1" s="49" t="str">
        <x:v>negative_hit_flag</x:v>
      </x:c>
      <x:c r="X1" s="49" t="str">
        <x:v>source_request_id</x:v>
      </x:c>
      <x:c r="Y1" s="49" t="str">
        <x:v>compatibility_domain_id</x:v>
      </x:c>
      <x:c r="Z1" s="49" t="str">
        <x:v>prefetch_flag</x:v>
      </x:c>
      <x:c r="AA1" s="49" t="str">
        <x:v>eviction_reason</x:v>
      </x:c>
      <x:c r="AB1" s="49" t="str">
        <x:v>fallback_reason</x:v>
      </x:c>
      <x:c r="AC1" s="49" t="str">
        <x:v>error_type</x:v>
      </x:c>
      <x:c r="AD1" s="49" t="str">
        <x:v>notes</x:v>
      </x:c>
    </x:row>
    <x:row r="2" ht="44" customHeight="1">
      <x:c r="A2" s="50" t="str">
        <x:v>EXAMPLE</x:v>
      </x:c>
      <x:c r="B2" s="50" t="str">
        <x:v>1.0</x:v>
      </x:c>
      <x:c r="C2" s="50" t="str">
        <x:v>ex_trace_001</x:v>
      </x:c>
      <x:c r="D2" s="50" t="str">
        <x:v>ex_req_dram_002</x:v>
      </x:c>
      <x:c r="E2" s="50" t="str">
        <x:v>ex_cache_001</x:v>
      </x:c>
      <x:c r="F2" s="52" t="n">
        <x:v>1</x:v>
      </x:c>
      <x:c r="G2" s="51" t="n">
        <x:v>46261.379166782404</x:v>
      </x:c>
      <x:c r="H2" s="50" t="str">
        <x:v>lookup</x:v>
      </x:c>
      <x:c r="I2" s="50" t="str">
        <x:v>DRAM</x:v>
      </x:c>
      <x:c r="J2" s="50" t="str">
        <x:v>hit</x:v>
      </x:c>
      <x:c r="K2" s="50" t="str">
        <x:v>sha256:EXAMPLE_CACHE_1</x:v>
      </x:c>
      <x:c r="L2" s="50" t="str">
        <x:v>block_0_9999</x:v>
      </x:c>
      <x:c r="M2" s="52" t="n">
        <x:v>0</x:v>
      </x:c>
      <x:c r="N2" s="52" t="n">
        <x:v>10000</x:v>
      </x:c>
      <x:c r="O2" s="55" t="n">
        <x:f>N2-M2</x:f>
        <x:v>10000</x:v>
      </x:c>
      <x:c r="P2" s="50" t="n">
        <x:v>0</x:v>
      </x:c>
      <x:c r="Q2" s="50" t="n">
        <x:v>0</x:v>
      </x:c>
      <x:c r="R2" s="53" t="n">
        <x:v>2</x:v>
      </x:c>
      <x:c r="S2" s="53" t="n">
        <x:v>0</x:v>
      </x:c>
      <x:c r="T2" s="53" t="n">
        <x:v>0</x:v>
      </x:c>
      <x:c r="U2" s="53" t="n">
        <x:v>1200</x:v>
      </x:c>
      <x:c r="V2" s="55" t="n">
        <x:f>IF(AND(J2="hit",R2+S2+T2&lt;U2),1,0)</x:f>
        <x:v>1</x:v>
      </x:c>
      <x:c r="W2" s="55" t="n">
        <x:f>IF(AND(J2="hit",R2+S2+T2&gt;=U2,U2&gt;0),1,0)</x:f>
        <x:v>0</x:v>
      </x:c>
      <x:c r="X2" s="50" t="str">
        <x:v>ex_req_cold_001</x:v>
      </x:c>
      <x:c r="Y2" s="50" t="str">
        <x:v>compat_demo_v1</x:v>
      </x:c>
      <x:c r="Z2" s="52" t="n">
        <x:v>0</x:v>
      </x:c>
      <x:c r="AA2" s="50" t="str"/>
      <x:c r="AB2" s="50" t="str"/>
      <x:c r="AC2" s="50" t="str"/>
      <x:c r="AD2" s="50" t="str">
        <x:v>查找事件；不要与read事件重复汇总Token。</x:v>
      </x:c>
    </x:row>
    <x:row r="3" ht="44" customHeight="1">
      <x:c r="A3" s="50" t="str">
        <x:v>EXAMPLE</x:v>
      </x:c>
      <x:c r="B3" s="50" t="str">
        <x:v>1.0</x:v>
      </x:c>
      <x:c r="C3" s="50" t="str">
        <x:v>ex_trace_001</x:v>
      </x:c>
      <x:c r="D3" s="50" t="str">
        <x:v>ex_req_dram_002</x:v>
      </x:c>
      <x:c r="E3" s="50" t="str">
        <x:v>ex_cache_002</x:v>
      </x:c>
      <x:c r="F3" s="52" t="n">
        <x:v>2</x:v>
      </x:c>
      <x:c r="G3" s="51" t="n">
        <x:v>46261.37916684028</x:v>
      </x:c>
      <x:c r="H3" s="50" t="str">
        <x:v>read</x:v>
      </x:c>
      <x:c r="I3" s="50" t="str">
        <x:v>DRAM</x:v>
      </x:c>
      <x:c r="J3" s="50" t="str">
        <x:v>hit</x:v>
      </x:c>
      <x:c r="K3" s="50" t="str">
        <x:v>sha256:EXAMPLE_CACHE_1</x:v>
      </x:c>
      <x:c r="L3" s="50" t="str">
        <x:v>block_0_9999</x:v>
      </x:c>
      <x:c r="M3" s="52" t="n">
        <x:v>0</x:v>
      </x:c>
      <x:c r="N3" s="52" t="n">
        <x:v>10000</x:v>
      </x:c>
      <x:c r="O3" s="55" t="n">
        <x:f>N3-M3</x:f>
        <x:v>10000</x:v>
      </x:c>
      <x:c r="P3" s="50" t="n">
        <x:v>160000000</x:v>
      </x:c>
      <x:c r="Q3" s="50" t="n">
        <x:v>0</x:v>
      </x:c>
      <x:c r="R3" s="53" t="n">
        <x:v>0</x:v>
      </x:c>
      <x:c r="S3" s="53" t="n">
        <x:v>30</x:v>
      </x:c>
      <x:c r="T3" s="53" t="n">
        <x:v>5</x:v>
      </x:c>
      <x:c r="U3" s="53" t="n">
        <x:v>1200</x:v>
      </x:c>
      <x:c r="V3" s="55" t="n">
        <x:f>IF(AND(J3="hit",R3+S3+T3&lt;U3),1,0)</x:f>
        <x:v>1</x:v>
      </x:c>
      <x:c r="W3" s="55" t="n">
        <x:f>IF(AND(J3="hit",R3+S3+T3&gt;=U3,U3&gt;0),1,0)</x:f>
        <x:v>0</x:v>
      </x:c>
      <x:c r="X3" s="50" t="str">
        <x:v>ex_req_cold_001</x:v>
      </x:c>
      <x:c r="Y3" s="50" t="str">
        <x:v>compat_demo_v1</x:v>
      </x:c>
      <x:c r="Z3" s="52" t="n">
        <x:v>0</x:v>
      </x:c>
      <x:c r="AA3" s="50" t="str"/>
      <x:c r="AB3" s="50" t="str"/>
      <x:c r="AC3" s="50" t="str"/>
      <x:c r="AD3" s="50" t="str">
        <x:v>有效DRAM读取示例。</x:v>
      </x:c>
    </x:row>
    <x:row r="4" ht="44" customHeight="1">
      <x:c r="A4" s="50" t="str">
        <x:v>EXAMPLE</x:v>
      </x:c>
      <x:c r="B4" s="50" t="str">
        <x:v>1.0</x:v>
      </x:c>
      <x:c r="C4" s="50" t="str">
        <x:v>ex_trace_001</x:v>
      </x:c>
      <x:c r="D4" s="50" t="str">
        <x:v>ex_req_negative_003</x:v>
      </x:c>
      <x:c r="E4" s="50" t="str">
        <x:v>ex_cache_003</x:v>
      </x:c>
      <x:c r="F4" s="52" t="n">
        <x:v>1</x:v>
      </x:c>
      <x:c r="G4" s="51" t="n">
        <x:v>46261.37986122685</x:v>
      </x:c>
      <x:c r="H4" s="50" t="str">
        <x:v>read</x:v>
      </x:c>
      <x:c r="I4" s="50" t="str">
        <x:v>SSD</x:v>
      </x:c>
      <x:c r="J4" s="50" t="str">
        <x:v>hit</x:v>
      </x:c>
      <x:c r="K4" s="50" t="str">
        <x:v>sha256:EXAMPLE_CACHE_2</x:v>
      </x:c>
      <x:c r="L4" s="50" t="str">
        <x:v>block_0_9999</x:v>
      </x:c>
      <x:c r="M4" s="52" t="n">
        <x:v>0</x:v>
      </x:c>
      <x:c r="N4" s="52" t="n">
        <x:v>10000</x:v>
      </x:c>
      <x:c r="O4" s="55" t="n">
        <x:f>N4-M4</x:f>
        <x:v>10000</x:v>
      </x:c>
      <x:c r="P4" s="50" t="n">
        <x:v>160000000</x:v>
      </x:c>
      <x:c r="Q4" s="50" t="n">
        <x:v>0</x:v>
      </x:c>
      <x:c r="R4" s="53" t="n">
        <x:v>3</x:v>
      </x:c>
      <x:c r="S4" s="53" t="n">
        <x:v>900</x:v>
      </x:c>
      <x:c r="T4" s="53" t="n">
        <x:v>100</x:v>
      </x:c>
      <x:c r="U4" s="53" t="n">
        <x:v>600</x:v>
      </x:c>
      <x:c r="V4" s="55" t="n">
        <x:f>IF(AND(J4="hit",R4+S4+T4&lt;U4),1,0)</x:f>
        <x:v>0</x:v>
      </x:c>
      <x:c r="W4" s="55" t="n">
        <x:f>IF(AND(J4="hit",R4+S4+T4&gt;=U4,U4&gt;0),1,0)</x:f>
        <x:v>1</x:v>
      </x:c>
      <x:c r="X4" s="50" t="str">
        <x:v>ex_req_cold_001</x:v>
      </x:c>
      <x:c r="Y4" s="50" t="str">
        <x:v>compat_demo_v1</x:v>
      </x:c>
      <x:c r="Z4" s="52" t="n">
        <x:v>0</x:v>
      </x:c>
      <x:c r="AA4" s="50" t="str"/>
      <x:c r="AB4" s="50" t="str"/>
      <x:c r="AC4" s="50" t="str"/>
      <x:c r="AD4" s="50" t="str">
        <x:v>负收益命中示例。</x:v>
      </x:c>
    </x:row>
    <x:row r="5" ht="44" customHeight="1">
      <x:c r="A5" s="50" t="str">
        <x:v>EXAMPLE</x:v>
      </x:c>
      <x:c r="B5" s="50" t="str">
        <x:v>1.0</x:v>
      </x:c>
      <x:c r="C5" s="50" t="str">
        <x:v>ex_trace_001</x:v>
      </x:c>
      <x:c r="D5" s="50" t="str">
        <x:v>ex_req_dram_002</x:v>
      </x:c>
      <x:c r="E5" s="50" t="str">
        <x:v>ex_cache_004</x:v>
      </x:c>
      <x:c r="F5" s="52" t="n">
        <x:v>3</x:v>
      </x:c>
      <x:c r="G5" s="51" t="n">
        <x:v>46261.37916724537</x:v>
      </x:c>
      <x:c r="H5" s="50" t="str">
        <x:v>write</x:v>
      </x:c>
      <x:c r="I5" s="50" t="str">
        <x:v>HBM</x:v>
      </x:c>
      <x:c r="J5" s="50" t="str">
        <x:v>not_applicable</x:v>
      </x:c>
      <x:c r="K5" s="50" t="str">
        <x:v>sha256:EXAMPLE_CACHE_3</x:v>
      </x:c>
      <x:c r="L5" s="50" t="str">
        <x:v>block_10000_11999</x:v>
      </x:c>
      <x:c r="M5" s="52" t="n">
        <x:v>10000</x:v>
      </x:c>
      <x:c r="N5" s="52" t="n">
        <x:v>12000</x:v>
      </x:c>
      <x:c r="O5" s="55" t="n">
        <x:f>N5-M5</x:f>
        <x:v>2000</x:v>
      </x:c>
      <x:c r="P5" s="50" t="n">
        <x:v>0</x:v>
      </x:c>
      <x:c r="Q5" s="50" t="n">
        <x:v>32000000</x:v>
      </x:c>
      <x:c r="R5" s="53" t="n">
        <x:v>0</x:v>
      </x:c>
      <x:c r="S5" s="53" t="n">
        <x:v>2</x:v>
      </x:c>
      <x:c r="T5" s="53" t="n">
        <x:v>0</x:v>
      </x:c>
      <x:c r="U5" s="53" t="n">
        <x:v>0</x:v>
      </x:c>
      <x:c r="V5" s="55" t="n">
        <x:f>IF(AND(J5="hit",R5+S5+T5&lt;U5),1,0)</x:f>
        <x:v>0</x:v>
      </x:c>
      <x:c r="W5" s="55" t="n">
        <x:f>IF(AND(J5="hit",R5+S5+T5&gt;=U5,U5&gt;0),1,0)</x:f>
        <x:v>0</x:v>
      </x:c>
      <x:c r="X5" s="50" t="str">
        <x:v>ex_req_dram_002</x:v>
      </x:c>
      <x:c r="Y5" s="50" t="str">
        <x:v>compat_demo_v1</x:v>
      </x:c>
      <x:c r="Z5" s="52" t="n">
        <x:v>0</x:v>
      </x:c>
      <x:c r="AA5" s="50" t="str"/>
      <x:c r="AB5" s="50" t="str"/>
      <x:c r="AC5" s="50" t="str"/>
      <x:c r="AD5" s="50" t="str">
        <x:v>新增后缀写入示例。</x:v>
      </x:c>
    </x:row>
  </x:sheetData>
  <x:dataValidations count="5">
    <x:dataValidation type="list" sqref="A2:A1000">
      <x:formula1>"DATA,EXAMPLE"</x:formula1>
    </x:dataValidation>
    <x:dataValidation type="list" sqref="H2:H1000">
      <x:formula1>"lookup,read,write,prefetch,evict,bypass"</x:formula1>
    </x:dataValidation>
    <x:dataValidation type="list" sqref="I2:I1000">
      <x:formula1>"HBM,DRAM,SSD,REMOTE,NONE"</x:formula1>
    </x:dataValidation>
    <x:dataValidation type="list" sqref="J2:J1000">
      <x:formula1>"hit,miss,partial,bypass,not_applicable"</x:formula1>
    </x:dataValidation>
    <x:dataValidation type="list" sqref="Z2:Z10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c929b47d5b45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4" hidden="0" customWidth="1"/>
    <x:col min="13" max="13" width="24" hidden="0" customWidth="1"/>
    <x:col min="14" max="14" width="15" hidden="0" customWidth="1"/>
    <x:col min="15" max="15" width="15" hidden="0" customWidth="1"/>
    <x:col min="16" max="16" width="21" hidden="0" customWidth="1"/>
    <x:col min="17" max="17" width="21" hidden="0" customWidth="1"/>
    <x:col min="18" max="18" width="15" hidden="0" customWidth="1"/>
    <x:col min="19" max="19" width="18" hidden="0" customWidth="1"/>
    <x:col min="20" max="20" width="18" hidden="0" customWidth="1"/>
    <x:col min="21" max="21" width="22" hidden="0" customWidth="1"/>
    <x:col min="22" max="22" width="34" hidden="0" customWidth="1"/>
  </x:cols>
  <x:sheetData>
    <x:row r="1" ht="34" customHeight="1">
      <x:c r="A1" s="49" t="str">
        <x:v>record_kind</x:v>
      </x:c>
      <x:c r="B1" s="49" t="str">
        <x:v>schema_version</x:v>
      </x:c>
      <x:c r="C1" s="49" t="str">
        <x:v>trace_id</x:v>
      </x:c>
      <x:c r="D1" s="49" t="str">
        <x:v>task_id</x:v>
      </x:c>
      <x:c r="E1" s="49" t="str">
        <x:v>session_id</x:v>
      </x:c>
      <x:c r="F1" s="49" t="str">
        <x:v>request_id</x:v>
      </x:c>
      <x:c r="G1" s="49" t="str">
        <x:v>step_id</x:v>
      </x:c>
      <x:c r="H1" s="49" t="str">
        <x:v>step_index</x:v>
      </x:c>
      <x:c r="I1" s="49" t="str">
        <x:v>step_type</x:v>
      </x:c>
      <x:c r="J1" s="49" t="str">
        <x:v>action_name</x:v>
      </x:c>
      <x:c r="K1" s="49" t="str">
        <x:v>tool_name</x:v>
      </x:c>
      <x:c r="L1" s="49" t="str">
        <x:v>tool_args_hash</x:v>
      </x:c>
      <x:c r="M1" s="49" t="str">
        <x:v>tool_result_ref</x:v>
      </x:c>
      <x:c r="N1" s="49" t="str">
        <x:v>tool_result_token_count</x:v>
      </x:c>
      <x:c r="O1" s="49" t="str">
        <x:v>tool_result_bytes</x:v>
      </x:c>
      <x:c r="P1" s="49" t="str">
        <x:v>start_utc</x:v>
      </x:c>
      <x:c r="Q1" s="49" t="str">
        <x:v>end_utc</x:v>
      </x:c>
      <x:c r="R1" s="49" t="str">
        <x:v>duration_ms</x:v>
      </x:c>
      <x:c r="S1" s="49" t="str">
        <x:v>status</x:v>
      </x:c>
      <x:c r="T1" s="49" t="str">
        <x:v>error_type</x:v>
      </x:c>
      <x:c r="U1" s="49" t="str">
        <x:v>related_change_id</x:v>
      </x:c>
      <x:c r="V1" s="49" t="str">
        <x:v>notes</x:v>
      </x:c>
    </x:row>
    <x:row r="2" ht="44" customHeight="1">
      <x:c r="A2" s="50" t="str">
        <x:v>EXAMPLE</x:v>
      </x:c>
      <x:c r="B2" s="50" t="str">
        <x:v>1.0</x:v>
      </x:c>
      <x:c r="C2" s="50" t="str">
        <x:v>ex_trace_001</x:v>
      </x:c>
      <x:c r="D2" s="50" t="str">
        <x:v>ex_task_001</x:v>
      </x:c>
      <x:c r="E2" s="50" t="str">
        <x:v>ex_session_001</x:v>
      </x:c>
      <x:c r="F2" s="50" t="str">
        <x:v>ex_req_cold_001</x:v>
      </x:c>
      <x:c r="G2" s="50" t="str">
        <x:v>ex_step_001</x:v>
      </x:c>
      <x:c r="H2" s="52" t="n">
        <x:v>1</x:v>
      </x:c>
      <x:c r="I2" s="50" t="str">
        <x:v>model_call</x:v>
      </x:c>
      <x:c r="J2" s="50" t="str">
        <x:v>plan</x:v>
      </x:c>
      <x:c r="K2" s="50" t="str"/>
      <x:c r="L2" s="50" t="str"/>
      <x:c r="M2" s="50" t="str"/>
      <x:c r="N2" s="52" t="n">
        <x:v>0</x:v>
      </x:c>
      <x:c r="O2" s="52" t="n">
        <x:v>0</x:v>
      </x:c>
      <x:c r="P2" s="51" t="n">
        <x:v>46261.37847222222</x:v>
      </x:c>
      <x:c r="Q2" s="51" t="n">
        <x:v>46261.3785</x:v>
      </x:c>
      <x:c r="R2" s="58" t="n">
        <x:f>(Q2-P2)*86400000</x:f>
        <x:v>2400.0001838430762</x:v>
      </x:c>
      <x:c r="S2" s="50" t="str">
        <x:v>success</x:v>
      </x:c>
      <x:c r="T2" s="50" t="str"/>
      <x:c r="U2" s="50" t="str"/>
      <x:c r="V2" s="50" t="str">
        <x:v>首次模型调用。</x:v>
      </x:c>
    </x:row>
    <x:row r="3" ht="44" customHeight="1">
      <x:c r="A3" s="50" t="str">
        <x:v>EXAMPLE</x:v>
      </x:c>
      <x:c r="B3" s="50" t="str">
        <x:v>1.0</x:v>
      </x:c>
      <x:c r="C3" s="50" t="str">
        <x:v>ex_trace_001</x:v>
      </x:c>
      <x:c r="D3" s="50" t="str">
        <x:v>ex_task_001</x:v>
      </x:c>
      <x:c r="E3" s="50" t="str">
        <x:v>ex_session_001</x:v>
      </x:c>
      <x:c r="F3" s="50" t="str"/>
      <x:c r="G3" s="50" t="str">
        <x:v>ex_step_002</x:v>
      </x:c>
      <x:c r="H3" s="52" t="n">
        <x:v>2</x:v>
      </x:c>
      <x:c r="I3" s="50" t="str">
        <x:v>tool_call</x:v>
      </x:c>
      <x:c r="J3" s="50" t="str">
        <x:v>search_repo</x:v>
      </x:c>
      <x:c r="K3" s="50" t="str">
        <x:v>search</x:v>
      </x:c>
      <x:c r="L3" s="50" t="str">
        <x:v>sha256:EXAMPLE_ARGS</x:v>
      </x:c>
      <x:c r="M3" s="50" t="str">
        <x:v>secure://example/tool_result/2</x:v>
      </x:c>
      <x:c r="N3" s="52" t="n">
        <x:v>1800</x:v>
      </x:c>
      <x:c r="O3" s="52" t="n">
        <x:v>12000</x:v>
      </x:c>
      <x:c r="P3" s="51" t="n">
        <x:v>46261.37850694444</x:v>
      </x:c>
      <x:c r="Q3" s="51" t="n">
        <x:v>46261.378512731484</x:v>
      </x:c>
      <x:c r="R3" s="58" t="n">
        <x:f>(Q3-P3)*86400000</x:f>
        <x:v>500.00043120235205</x:v>
      </x:c>
      <x:c r="S3" s="50" t="str">
        <x:v>success</x:v>
      </x:c>
      <x:c r="T3" s="50" t="str"/>
      <x:c r="U3" s="50" t="str"/>
      <x:c r="V3" s="50" t="str">
        <x:v>搜索工具示例。</x:v>
      </x:c>
    </x:row>
    <x:row r="4" ht="44" customHeight="1">
      <x:c r="A4" s="50" t="str">
        <x:v>EXAMPLE</x:v>
      </x:c>
      <x:c r="B4" s="50" t="str">
        <x:v>1.0</x:v>
      </x:c>
      <x:c r="C4" s="50" t="str">
        <x:v>ex_trace_001</x:v>
      </x:c>
      <x:c r="D4" s="50" t="str">
        <x:v>ex_task_001</x:v>
      </x:c>
      <x:c r="E4" s="50" t="str">
        <x:v>ex_session_001</x:v>
      </x:c>
      <x:c r="F4" s="50" t="str">
        <x:v>ex_req_dram_002</x:v>
      </x:c>
      <x:c r="G4" s="50" t="str">
        <x:v>ex_step_003</x:v>
      </x:c>
      <x:c r="H4" s="52" t="n">
        <x:v>3</x:v>
      </x:c>
      <x:c r="I4" s="50" t="str">
        <x:v>test</x:v>
      </x:c>
      <x:c r="J4" s="50" t="str">
        <x:v>run_unit_tests</x:v>
      </x:c>
      <x:c r="K4" s="50" t="str">
        <x:v>terminal</x:v>
      </x:c>
      <x:c r="L4" s="50" t="str">
        <x:v>sha256:EXAMPLE_TEST</x:v>
      </x:c>
      <x:c r="M4" s="50" t="str">
        <x:v>secure://example/tool_result/3</x:v>
      </x:c>
      <x:c r="N4" s="52" t="n">
        <x:v>900</x:v>
      </x:c>
      <x:c r="O4" s="52" t="n">
        <x:v>8000</x:v>
      </x:c>
      <x:c r="P4" s="51" t="n">
        <x:v>46261.379282407404</x:v>
      </x:c>
      <x:c r="Q4" s="51" t="n">
        <x:v>46261.37933101852</x:v>
      </x:c>
      <x:c r="R4" s="58" t="n">
        <x:f>(Q4-P4)*86400000</x:f>
        <x:v>4200.000478886068</x:v>
      </x:c>
      <x:c r="S4" s="50" t="str">
        <x:v>success</x:v>
      </x:c>
      <x:c r="T4" s="50" t="str"/>
      <x:c r="U4" s="50" t="str">
        <x:v>ex_change_001</x:v>
      </x:c>
      <x:c r="V4" s="50" t="str">
        <x:v>测试示例。</x:v>
      </x:c>
    </x:row>
  </x:sheetData>
  <x:dataValidations count="3">
    <x:dataValidation type="list" sqref="A2:A1000">
      <x:formula1>"DATA,EXAMPLE"</x:formula1>
    </x:dataValidation>
    <x:dataValidation type="list" sqref="I2:I1000">
      <x:formula1>"model_call,tool_call,file_read,file_edit,test,git,user_interaction,other"</x:formula1>
    </x:dataValidation>
    <x:dataValidation type="list" sqref="S2:S1000">
      <x:formula1>"success,error,timeout,cancelled"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af96e50aa549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5" hidden="0" customWidth="1"/>
    <x:col min="20" max="20" width="15" hidden="0" customWidth="1"/>
    <x:col min="21" max="21" width="18" hidden="0" customWidth="1"/>
    <x:col min="22" max="22" width="22" hidden="0" customWidth="1"/>
    <x:col min="23" max="23" width="18" hidden="0" customWidth="1"/>
    <x:col min="24" max="24" width="34" hidden="0" customWidth="1"/>
  </x:cols>
  <x:sheetData>
    <x:row r="1" ht="34" customHeight="1">
      <x:c r="A1" s="49" t="str">
        <x:v>record_kind</x:v>
      </x:c>
      <x:c r="B1" s="49" t="str">
        <x:v>schema_version</x:v>
      </x:c>
      <x:c r="C1" s="49" t="str">
        <x:v>trace_id</x:v>
      </x:c>
      <x:c r="D1" s="49" t="str">
        <x:v>task_id</x:v>
      </x:c>
      <x:c r="E1" s="49" t="str">
        <x:v>request_id</x:v>
      </x:c>
      <x:c r="F1" s="49" t="str">
        <x:v>change_id</x:v>
      </x:c>
      <x:c r="G1" s="49" t="str">
        <x:v>repo_pseudonym</x:v>
      </x:c>
      <x:c r="H1" s="49" t="str">
        <x:v>file_path_hash</x:v>
      </x:c>
      <x:c r="I1" s="49" t="str">
        <x:v>language</x:v>
      </x:c>
      <x:c r="J1" s="49" t="str">
        <x:v>change_type</x:v>
      </x:c>
      <x:c r="K1" s="49" t="str">
        <x:v>commit_before</x:v>
      </x:c>
      <x:c r="L1" s="49" t="str">
        <x:v>commit_after</x:v>
      </x:c>
      <x:c r="M1" s="49" t="str">
        <x:v>file_hash_before</x:v>
      </x:c>
      <x:c r="N1" s="49" t="str">
        <x:v>file_hash_after</x:v>
      </x:c>
      <x:c r="O1" s="49" t="str">
        <x:v>lines_added</x:v>
      </x:c>
      <x:c r="P1" s="49" t="str">
        <x:v>lines_deleted</x:v>
      </x:c>
      <x:c r="Q1" s="49" t="str">
        <x:v>file_tokens_before</x:v>
      </x:c>
      <x:c r="R1" s="49" t="str">
        <x:v>file_tokens_after</x:v>
      </x:c>
      <x:c r="S1" s="49" t="str">
        <x:v>changed_token_count</x:v>
      </x:c>
      <x:c r="T1" s="49" t="str">
        <x:v>changed_token_ratio</x:v>
      </x:c>
      <x:c r="U1" s="49" t="str">
        <x:v>in_prompt_flag</x:v>
      </x:c>
      <x:c r="V1" s="49" t="str">
        <x:v>segment_id</x:v>
      </x:c>
      <x:c r="W1" s="49" t="str">
        <x:v>dependency_scope</x:v>
      </x:c>
      <x:c r="X1" s="49" t="str">
        <x:v>notes</x:v>
      </x:c>
    </x:row>
    <x:row r="2" ht="44" customHeight="1">
      <x:c r="A2" s="50" t="str">
        <x:v>EXAMPLE</x:v>
      </x:c>
      <x:c r="B2" s="50" t="str">
        <x:v>1.0</x:v>
      </x:c>
      <x:c r="C2" s="50" t="str">
        <x:v>ex_trace_001</x:v>
      </x:c>
      <x:c r="D2" s="50" t="str">
        <x:v>ex_task_001</x:v>
      </x:c>
      <x:c r="E2" s="50" t="str">
        <x:v>ex_req_dram_002</x:v>
      </x:c>
      <x:c r="F2" s="50" t="str">
        <x:v>ex_change_001</x:v>
      </x:c>
      <x:c r="G2" s="50" t="str">
        <x:v>repo_demo</x:v>
      </x:c>
      <x:c r="H2" s="50" t="str">
        <x:v>sha256:EXAMPLE_PATH_1</x:v>
      </x:c>
      <x:c r="I2" s="50" t="str">
        <x:v>Python</x:v>
      </x:c>
      <x:c r="J2" s="50" t="str">
        <x:v>modify</x:v>
      </x:c>
      <x:c r="K2" s="50" t="str">
        <x:v>commit_demo_0</x:v>
      </x:c>
      <x:c r="L2" s="50" t="str">
        <x:v>worktree_demo_1</x:v>
      </x:c>
      <x:c r="M2" s="50" t="str">
        <x:v>sha256:EXAMPLE_FILE_0</x:v>
      </x:c>
      <x:c r="N2" s="50" t="str">
        <x:v>sha256:EXAMPLE_FILE_1</x:v>
      </x:c>
      <x:c r="O2" s="52" t="n">
        <x:v>12</x:v>
      </x:c>
      <x:c r="P2" s="52" t="n">
        <x:v>4</x:v>
      </x:c>
      <x:c r="Q2" s="50" t="n">
        <x:v>1500</x:v>
      </x:c>
      <x:c r="R2" s="50" t="n">
        <x:v>1560</x:v>
      </x:c>
      <x:c r="S2" s="52" t="n">
        <x:v>80</x:v>
      </x:c>
      <x:c r="T2" s="56" t="n">
        <x:f>IFERROR(S2/MAX(Q2,R2),0)</x:f>
        <x:v>0.05128205128205128</x:v>
      </x:c>
      <x:c r="U2" s="52" t="n">
        <x:v>1</x:v>
      </x:c>
      <x:c r="V2" s="50" t="str">
        <x:v>ex_seg_004</x:v>
      </x:c>
      <x:c r="W2" s="50" t="str">
        <x:v>local_module</x:v>
      </x:c>
      <x:c r="X2" s="50" t="str">
        <x:v>局部文件变化示例。</x:v>
      </x:c>
    </x:row>
    <x:row r="3" ht="44" customHeight="1">
      <x:c r="A3" s="50" t="str">
        <x:v>EXAMPLE</x:v>
      </x:c>
      <x:c r="B3" s="50" t="str">
        <x:v>1.0</x:v>
      </x:c>
      <x:c r="C3" s="50" t="str">
        <x:v>ex_trace_001</x:v>
      </x:c>
      <x:c r="D3" s="50" t="str">
        <x:v>ex_task_001</x:v>
      </x:c>
      <x:c r="E3" s="50" t="str">
        <x:v>ex_req_dram_002</x:v>
      </x:c>
      <x:c r="F3" s="50" t="str">
        <x:v>ex_change_002</x:v>
      </x:c>
      <x:c r="G3" s="50" t="str">
        <x:v>repo_demo</x:v>
      </x:c>
      <x:c r="H3" s="50" t="str">
        <x:v>sha256:EXAMPLE_PATH_2</x:v>
      </x:c>
      <x:c r="I3" s="50" t="str">
        <x:v>Markdown</x:v>
      </x:c>
      <x:c r="J3" s="50" t="str">
        <x:v>modify</x:v>
      </x:c>
      <x:c r="K3" s="50" t="str">
        <x:v>commit_demo_0</x:v>
      </x:c>
      <x:c r="L3" s="50" t="str">
        <x:v>worktree_demo_1</x:v>
      </x:c>
      <x:c r="M3" s="50" t="str">
        <x:v>sha256:EXAMPLE_DOC_0</x:v>
      </x:c>
      <x:c r="N3" s="50" t="str">
        <x:v>sha256:EXAMPLE_DOC_1</x:v>
      </x:c>
      <x:c r="O3" s="52" t="n">
        <x:v>2</x:v>
      </x:c>
      <x:c r="P3" s="52" t="n">
        <x:v>1</x:v>
      </x:c>
      <x:c r="Q3" s="50" t="n">
        <x:v>300</x:v>
      </x:c>
      <x:c r="R3" s="50" t="n">
        <x:v>310</x:v>
      </x:c>
      <x:c r="S3" s="52" t="n">
        <x:v>12</x:v>
      </x:c>
      <x:c r="T3" s="56" t="n">
        <x:f>IFERROR(S3/MAX(Q3,R3),0)</x:f>
        <x:v>0.03870967741935484</x:v>
      </x:c>
      <x:c r="U3" s="52" t="n">
        <x:v>0</x:v>
      </x:c>
      <x:c r="V3" s="50" t="str"/>
      <x:c r="W3" s="50" t="str">
        <x:v>documentation_only</x:v>
      </x:c>
      <x:c r="X3" s="50" t="str">
        <x:v>未进入Prompt的变化示例。</x:v>
      </x:c>
    </x:row>
  </x:sheetData>
  <x:dataValidations count="3">
    <x:dataValidation type="list" sqref="A2:A1000">
      <x:formula1>"DATA,EXAMPLE"</x:formula1>
    </x:dataValidation>
    <x:dataValidation type="list" sqref="J2:J1000">
      <x:formula1>"add,modify,delete,rename"</x:formula1>
    </x:dataValidation>
    <x:dataValidation type="list" sqref="U2:U10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2b1e951df040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8" hidden="0" customWidth="1"/>
    <x:col min="5" max="5" width="34" hidden="0" customWidth="1"/>
    <x:col min="6" max="6" width="24" hidden="0" customWidth="1"/>
    <x:col min="7" max="7" width="28" hidden="0" customWidth="1"/>
    <x:col min="8" max="8" width="12" hidden="0" customWidth="1"/>
  </x:cols>
  <x:sheetData>
    <x:row r="1" ht="34" customHeight="1">
      <x:c r="A1" s="60" t="str">
        <x:v>Trace QA与指标概览</x:v>
      </x:c>
      <x:c r="B1" s="60"/>
      <x:c r="C1" s="60"/>
      <x:c r="D1" s="60"/>
      <x:c r="E1" s="60"/>
      <x:c r="F1" s="60"/>
      <x:c r="G1" s="60"/>
      <x:c r="H1" s="60"/>
    </x:row>
    <x:row r="2" ht="34" customHeight="1">
      <x:c r="A2" s="60"/>
      <x:c r="B2" s="60"/>
      <x:c r="C2" s="60"/>
      <x:c r="D2" s="60"/>
      <x:c r="E2" s="60"/>
      <x:c r="F2" s="60"/>
      <x:c r="G2" s="60"/>
      <x:c r="H2" s="60"/>
    </x:row>
    <x:row r="3" ht="26" customHeight="1">
      <x:c r="A3" s="62" t="str">
        <x:v>只汇总record_kind=DATA；候选目标未冻结，需与项目定义确认表一起使用。</x:v>
      </x:c>
      <x:c r="B3" s="62"/>
      <x:c r="C3" s="62"/>
      <x:c r="D3" s="62"/>
      <x:c r="E3" s="62"/>
      <x:c r="F3" s="62"/>
      <x:c r="G3" s="62"/>
      <x:c r="H3" s="62"/>
    </x:row>
    <x:row r="4" ht="26" customHeight="1"/>
    <x:row r="5" ht="26" customHeight="1">
      <x:c r="A5" s="90" t="str">
        <x:v>总体状态</x:v>
      </x:c>
      <x:c r="B5" s="90" t="str"/>
      <x:c r="C5" s="90" t="str">
        <x:v>DATA请求数</x:v>
      </x:c>
      <x:c r="D5" s="90" t="str"/>
      <x:c r="E5" s="90" t="str">
        <x:v>Prompt Token</x:v>
      </x:c>
      <x:c r="F5" s="90" t="str"/>
      <x:c r="G5" s="90" t="str">
        <x:v>有效命中Token</x:v>
      </x:c>
      <x:c r="H5" s="90" t="str"/>
    </x:row>
    <x:row r="6" ht="26" customHeight="1">
      <x:c r="A6" s="91" t="str">
        <x:f>IF(COUNTIF(C22:C28,"ERROR")&gt;0,"CHECK",IF(C6=0,"NO DATA","READY"))</x:f>
        <x:v>NO DATA</x:v>
      </x:c>
      <x:c r="B6" s="91" t="str"/>
      <x:c r="C6" s="91" t="n">
        <x:f>COUNTIF('Requests'!$A$2:$A$10001,"DATA")</x:f>
        <x:v>0</x:v>
      </x:c>
      <x:c r="D6" s="91" t="str"/>
      <x:c r="E6" s="91" t="n">
        <x:f>SUMIFS('Requests'!$Z$2:$Z$10001,'Requests'!$A$2:$A$10001,"DATA")</x:f>
        <x:v>0</x:v>
      </x:c>
      <x:c r="F6" s="91" t="str"/>
      <x:c r="G6" s="91" t="n">
        <x:f>SUMIFS('Requests'!$AE$2:$AE$10001,'Requests'!$A$2:$A$10001,"DATA")</x:f>
        <x:v>0</x:v>
      </x:c>
      <x:c r="H6" s="91" t="str"/>
    </x:row>
    <x:row r="7" ht="26" customHeight="1">
      <x:c r="A7" s="29"/>
      <x:c r="B7" s="29"/>
      <x:c r="C7" s="29"/>
      <x:c r="D7" s="29"/>
      <x:c r="E7" s="29"/>
      <x:c r="F7" s="29"/>
      <x:c r="G7" s="29"/>
      <x:c r="H7" s="29"/>
    </x:row>
    <x:row r="8" ht="26" customHeight="1">
      <x:c r="A8" s="94" t="str">
        <x:v>核心指标</x:v>
      </x:c>
      <x:c r="B8" s="94" t="str">
        <x:v>核心指标</x:v>
      </x:c>
      <x:c r="C8" s="94" t="str">
        <x:v>核心指标</x:v>
      </x:c>
      <x:c r="D8" s="94" t="str">
        <x:v>核心指标</x:v>
      </x:c>
      <x:c r="E8" s="94" t="str">
        <x:v>核心指标</x:v>
      </x:c>
      <x:c r="F8" s="94" t="str">
        <x:v>核心指标</x:v>
      </x:c>
      <x:c r="G8" s="94" t="str">
        <x:v>核心指标</x:v>
      </x:c>
      <x:c r="H8" s="94" t="str">
        <x:v>核心指标</x:v>
      </x:c>
    </x:row>
    <x:row r="9" ht="26" customHeight="1">
      <x:c r="A9" s="96" t="str">
        <x:v>Metric</x:v>
      </x:c>
      <x:c r="B9" s="96" t="str">
        <x:v>值</x:v>
      </x:c>
      <x:c r="C9" s="96" t="str">
        <x:v>候选目标</x:v>
      </x:c>
      <x:c r="D9" s="96" t="str">
        <x:v>状态</x:v>
      </x:c>
      <x:c r="E9" s="96" t="str">
        <x:v>统计口径</x:v>
      </x:c>
      <x:c r="F9" s="96" t="str">
        <x:v>切片</x:v>
      </x:c>
      <x:c r="G9" s="96" t="str">
        <x:v>说明</x:v>
      </x:c>
      <x:c r="H9" s="96" t="str"/>
    </x:row>
    <x:row r="10" ht="26" customHeight="1">
      <x:c r="A10" s="29" t="str">
        <x:v>General H_effective</x:v>
      </x:c>
      <x:c r="B10" s="92" t="str">
        <x:f>IFERROR(SUMIFS('Requests'!$AE$2:$AE$10001,'Requests'!$A$2:$A$10001,"DATA",'Requests'!$M$2:$M$10001,"general")/SUMIFS('Requests'!$Z$2:$Z$10001,'Requests'!$A$2:$A$10001,"DATA",'Requests'!$M$2:$M$10001,"general"),"")</x:f>
      </x:c>
      <x:c r="C10" s="54" t="n">
        <x:v>0.7</x:v>
      </x:c>
      <x:c r="D10" s="29" t="str">
        <x:f>IF(B10="","NO DATA",IF(B10&gt;=C10,"PASS","CHECK"))</x:f>
        <x:v>NO DATA</x:v>
      </x:c>
      <x:c r="E10" s="29" t="str">
        <x:v>全部Prompt Token</x:v>
      </x:c>
      <x:c r="F10" s="29" t="str">
        <x:v>scene_class=general</x:v>
      </x:c>
      <x:c r="G10" s="29" t="str">
        <x:v>候选70%</x:v>
      </x:c>
      <x:c r="H10" s="29" t="str"/>
    </x:row>
    <x:row r="11" ht="26" customHeight="1">
      <x:c r="A11" s="29" t="str">
        <x:v>Code Agent H_effective</x:v>
      </x:c>
      <x:c r="B11" s="92" t="str">
        <x:f>IFERROR(SUMIFS('Requests'!$AE$2:$AE$10001,'Requests'!$A$2:$A$10001,"DATA",'Requests'!$M$2:$M$10001,"code_agent")/SUMIFS('Requests'!$Z$2:$Z$10001,'Requests'!$A$2:$A$10001,"DATA",'Requests'!$M$2:$M$10001,"code_agent"),"")</x:f>
      </x:c>
      <x:c r="C11" s="54" t="n">
        <x:v>0.95</x:v>
      </x:c>
      <x:c r="D11" s="29" t="str">
        <x:f>IF(B11="","NO DATA",IF(B11&gt;=C11,"PASS","CHECK"))</x:f>
        <x:v>NO DATA</x:v>
      </x:c>
      <x:c r="E11" s="29" t="str">
        <x:v>全部Prompt Token</x:v>
      </x:c>
      <x:c r="F11" s="29" t="str">
        <x:v>scene_class=code_agent</x:v>
      </x:c>
      <x:c r="G11" s="29" t="str">
        <x:v>候选95%</x:v>
      </x:c>
      <x:c r="H11" s="29" t="str"/>
    </x:row>
    <x:row r="12" ht="26" customHeight="1">
      <x:c r="A12" s="29" t="str">
        <x:v>Aggregate G_TTFT</x:v>
      </x:c>
      <x:c r="B12" s="92" t="str">
        <x:f>IFERROR((SUMIFS('Requests'!$BD$2:$BD$10001,'Requests'!$A$2:$A$10001,"DATA")-SUMIFS('Requests'!$AS$2:$AS$10001,'Requests'!$A$2:$A$10001,"DATA"))/SUMIFS('Requests'!$BD$2:$BD$10001,'Requests'!$A$2:$A$10001,"DATA"),"")</x:f>
      </x:c>
      <x:c r="C12" s="54" t="n">
        <x:v>0.9</x:v>
      </x:c>
      <x:c r="D12" s="29" t="str">
        <x:f>IF(B12="","NO DATA",IF(B12&gt;=C12,"PASS","CHECK"))</x:f>
        <x:v>NO DATA</x:v>
      </x:c>
      <x:c r="E12" s="29" t="str">
        <x:v>配对请求聚合</x:v>
      </x:c>
      <x:c r="F12" s="29" t="str">
        <x:v>全部DATA</x:v>
      </x:c>
      <x:c r="G12" s="29" t="str">
        <x:v>候选90%</x:v>
      </x:c>
      <x:c r="H12" s="29" t="str"/>
    </x:row>
    <x:row r="13" ht="26" customHeight="1">
      <x:c r="A13" s="29" t="str">
        <x:v>Aggregate C_ratio</x:v>
      </x:c>
      <x:c r="B13" s="92" t="str">
        <x:f>IFERROR(SUMIFS('Requests'!$BC$2:$BC$10001,'Requests'!$A$2:$A$10001,"DATA")/SUMIFS('Requests'!$BE$2:$BE$10001,'Requests'!$A$2:$A$10001,"DATA"),"")</x:f>
      </x:c>
      <x:c r="C13" s="54" t="n">
        <x:v>0.1</x:v>
      </x:c>
      <x:c r="D13" s="29" t="str">
        <x:f>IF(B13="","NO DATA",IF(B13&lt;=C13,"PASS","CHECK"))</x:f>
        <x:v>NO DATA</x:v>
      </x:c>
      <x:c r="E13" s="29" t="str">
        <x:v>统一费率版本</x:v>
      </x:c>
      <x:c r="F13" s="29" t="str">
        <x:v>全部DATA</x:v>
      </x:c>
      <x:c r="G13" s="29" t="str">
        <x:v>候选&lt;=10%</x:v>
      </x:c>
      <x:c r="H13" s="29" t="str"/>
    </x:row>
    <x:row r="14" ht="26" customHeight="1">
      <x:c r="A14" s="29" t="str">
        <x:v>Output token match</x:v>
      </x:c>
      <x:c r="B14" s="92" t="str">
        <x:f>IFERROR(AVERAGEIFS('Requests'!$BF$2:$BF$10001,'Requests'!$A$2:$A$10001,"DATA"),"")</x:f>
      </x:c>
      <x:c r="C14" s="54" t="n">
        <x:v>1</x:v>
      </x:c>
      <x:c r="D14" s="29" t="str">
        <x:f>IF(B14="","NO DATA",IF(B14&gt;=C14,"PASS","CHECK"))</x:f>
        <x:v>NO DATA</x:v>
      </x:c>
      <x:c r="E14" s="29" t="str">
        <x:v>有配对基线的请求</x:v>
      </x:c>
      <x:c r="F14" s="29" t="str">
        <x:v>全部DATA</x:v>
      </x:c>
      <x:c r="G14" s="29" t="str">
        <x:v>精确前缀推荐100%</x:v>
      </x:c>
      <x:c r="H14" s="29" t="str"/>
    </x:row>
    <x:row r="15" ht="26" customHeight="1">
      <x:c r="A15" s="29" t="str">
        <x:v>P50 e2e TTFT</x:v>
      </x:c>
      <x:c r="B15" s="93" t="str">
        <x:f>IFERROR(PERCENTILE.INC(_xlfn._xlws.FILTER('Requests'!$AS$2:$AS$10001,'Requests'!$A$2:$A$10001="DATA"),0.5),"")</x:f>
      </x:c>
      <x:c r="C15" s="29" t="str"/>
      <x:c r="D15" s="29" t="str">
        <x:f>IF(B15="","NO DATA","INFO")</x:f>
        <x:v>NO DATA</x:v>
      </x:c>
      <x:c r="E15" s="29" t="str">
        <x:v>端到端</x:v>
      </x:c>
      <x:c r="F15" s="29" t="str">
        <x:v>全部DATA</x:v>
      </x:c>
      <x:c r="G15" s="29" t="str">
        <x:v>ms</x:v>
      </x:c>
      <x:c r="H15" s="29" t="str"/>
    </x:row>
    <x:row r="16" ht="26" customHeight="1">
      <x:c r="A16" s="29" t="str">
        <x:v>P95 e2e TTFT</x:v>
      </x:c>
      <x:c r="B16" s="93" t="str">
        <x:f>IFERROR(PERCENTILE.INC(_xlfn._xlws.FILTER('Requests'!$AS$2:$AS$10001,'Requests'!$A$2:$A$10001="DATA"),0.95),"")</x:f>
      </x:c>
      <x:c r="C16" s="29" t="str"/>
      <x:c r="D16" s="29" t="str">
        <x:f>IF(B16="","NO DATA","INFO")</x:f>
        <x:v>NO DATA</x:v>
      </x:c>
      <x:c r="E16" s="29" t="str">
        <x:v>端到端</x:v>
      </x:c>
      <x:c r="F16" s="29" t="str">
        <x:v>全部DATA</x:v>
      </x:c>
      <x:c r="G16" s="29" t="str">
        <x:v>ms</x:v>
      </x:c>
      <x:c r="H16" s="29" t="str"/>
    </x:row>
    <x:row r="17" ht="26" customHeight="1">
      <x:c r="A17" s="29" t="str">
        <x:v>P99 e2e TTFT</x:v>
      </x:c>
      <x:c r="B17" s="93" t="str">
        <x:f>IFERROR(PERCENTILE.INC(_xlfn._xlws.FILTER('Requests'!$AS$2:$AS$10001,'Requests'!$A$2:$A$10001="DATA"),0.99),"")</x:f>
      </x:c>
      <x:c r="C17" s="29" t="str"/>
      <x:c r="D17" s="29" t="str">
        <x:f>IF(B17="","NO DATA","INFO")</x:f>
        <x:v>NO DATA</x:v>
      </x:c>
      <x:c r="E17" s="29" t="str">
        <x:v>端到端</x:v>
      </x:c>
      <x:c r="F17" s="29" t="str">
        <x:v>全部DATA</x:v>
      </x:c>
      <x:c r="G17" s="29" t="str">
        <x:v>ms</x:v>
      </x:c>
      <x:c r="H17" s="29" t="str"/>
    </x:row>
    <x:row r="18" ht="26" customHeight="1">
      <x:c r="A18" s="29" t="str">
        <x:v>Negative hit rate</x:v>
      </x:c>
      <x:c r="B18" s="92" t="str">
        <x:f>IFERROR(SUMIFS('Requests'!$AF$2:$AF$10001,'Requests'!$A$2:$A$10001,"DATA")/SUMIFS('Requests'!$AD$2:$AD$10001,'Requests'!$A$2:$A$10001,"DATA"),"")</x:f>
      </x:c>
      <x:c r="C18" s="29" t="str"/>
      <x:c r="D18" s="29" t="str">
        <x:f>IF(B18="","NO DATA","INFO")</x:f>
        <x:v>NO DATA</x:v>
      </x:c>
      <x:c r="E18" s="29" t="str">
        <x:v>负收益/逻辑命中</x:v>
      </x:c>
      <x:c r="F18" s="29" t="str">
        <x:v>全部DATA</x:v>
      </x:c>
      <x:c r="G18" s="29" t="str">
        <x:v>越低越好</x:v>
      </x:c>
      <x:c r="H18" s="29" t="str"/>
    </x:row>
    <x:row r="19" ht="26" customHeight="1">
      <x:c r="A19" s="29"/>
      <x:c r="B19" s="29"/>
      <x:c r="C19" s="29"/>
      <x:c r="D19" s="29"/>
      <x:c r="E19" s="29"/>
      <x:c r="F19" s="29"/>
      <x:c r="G19" s="29"/>
      <x:c r="H19" s="29"/>
    </x:row>
    <x:row r="20" ht="26" customHeight="1">
      <x:c r="A20" s="94" t="str">
        <x:v>数据完整性检查</x:v>
      </x:c>
      <x:c r="B20" s="94" t="str">
        <x:v>数据完整性检查</x:v>
      </x:c>
      <x:c r="C20" s="94" t="str">
        <x:v>数据完整性检查</x:v>
      </x:c>
      <x:c r="D20" s="94" t="str">
        <x:v>数据完整性检查</x:v>
      </x:c>
      <x:c r="E20" s="94" t="str">
        <x:v>数据完整性检查</x:v>
      </x:c>
      <x:c r="F20" s="94" t="str">
        <x:v>数据完整性检查</x:v>
      </x:c>
      <x:c r="G20" s="94" t="str">
        <x:v>数据完整性检查</x:v>
      </x:c>
      <x:c r="H20" s="94" t="str">
        <x:v>数据完整性检查</x:v>
      </x:c>
    </x:row>
    <x:row r="21" ht="26" customHeight="1">
      <x:c r="A21" s="96" t="str">
        <x:v>Check</x:v>
      </x:c>
      <x:c r="B21" s="96" t="str">
        <x:v>错误数</x:v>
      </x:c>
      <x:c r="C21" s="96" t="str">
        <x:v>状态</x:v>
      </x:c>
      <x:c r="D21" s="96" t="str">
        <x:v>规则</x:v>
      </x:c>
      <x:c r="E21" s="96" t="str">
        <x:v>关联Sheet</x:v>
      </x:c>
      <x:c r="F21" s="96" t="str"/>
      <x:c r="G21" s="96" t="str"/>
      <x:c r="H21" s="96" t="str"/>
    </x:row>
    <x:row r="22" ht="26" customHeight="1">
      <x:c r="A22" s="29" t="str">
        <x:v>Missing request_id</x:v>
      </x:c>
      <x:c r="B22" s="29" t="n">
        <x:f>COUNTIFS('Requests'!$A$2:$A$10001,"DATA",'Requests'!$E$2:$E$10001,"")</x:f>
        <x:v>0</x:v>
      </x:c>
      <x:c r="C22" s="29" t="str">
        <x:f>IF(B22=0,"PASS","ERROR")</x:f>
        <x:v>PASS</x:v>
      </x:c>
      <x:c r="D22" s="29" t="str">
        <x:v>DATA记录request_id不能为空</x:v>
      </x:c>
      <x:c r="E22" s="29" t="str">
        <x:v>Requests</x:v>
      </x:c>
      <x:c r="F22" s="29" t="str"/>
      <x:c r="G22" s="29" t="str"/>
      <x:c r="H22" s="29" t="str"/>
    </x:row>
    <x:row r="23" ht="26" customHeight="1">
      <x:c r="A23" s="29" t="str">
        <x:v>Token accounting error</x:v>
      </x:c>
      <x:c r="B23" s="29" t="n">
        <x:f>COUNTIFS('Requests'!$A$2:$A$10001,"DATA",'Requests'!$BQ$2:$BQ$10001,"&lt;&gt;OK")</x:f>
        <x:v>0</x:v>
      </x:c>
      <x:c r="C23" s="29" t="str">
        <x:f>IF(B23=0,"PASS","ERROR")</x:f>
        <x:v>PASS</x:v>
      </x:c>
      <x:c r="D23" s="29" t="str">
        <x:v>tier hits + miss = prompt_token_count</x:v>
      </x:c>
      <x:c r="E23" s="29" t="str">
        <x:v>Requests</x:v>
      </x:c>
      <x:c r="F23" s="29" t="str"/>
      <x:c r="G23" s="29" t="str"/>
      <x:c r="H23" s="29" t="str"/>
    </x:row>
    <x:row r="24" ht="26" customHeight="1">
      <x:c r="A24" s="29" t="str">
        <x:v>Effective consistency error</x:v>
      </x:c>
      <x:c r="B24" s="29" t="n">
        <x:f>COUNTIFS('Requests'!$A$2:$A$10001,"DATA",'Requests'!$BR$2:$BR$10001,"&lt;&gt;OK")</x:f>
        <x:v>0</x:v>
      </x:c>
      <x:c r="C24" s="29" t="str">
        <x:f>IF(B24=0,"PASS","ERROR")</x:f>
        <x:v>PASS</x:v>
      </x:c>
      <x:c r="D24" s="29" t="str">
        <x:v>effective/negative不超过logical</x:v>
      </x:c>
      <x:c r="E24" s="29" t="str">
        <x:v>Requests</x:v>
      </x:c>
      <x:c r="F24" s="29" t="str"/>
      <x:c r="G24" s="29" t="str"/>
      <x:c r="H24" s="29" t="str"/>
    </x:row>
    <x:row r="25" ht="26" customHeight="1">
      <x:c r="A25" s="29" t="str">
        <x:v>Segment boundary error</x:v>
      </x:c>
      <x:c r="B25" s="29" t="n">
        <x:f>COUNTIFS('PromptSegments'!$A$2:$A$10001,"DATA",'PromptSegments'!$Y$2:$Y$10001,"&lt;&gt;OK")</x:f>
        <x:v>0</x:v>
      </x:c>
      <x:c r="C25" s="29" t="str">
        <x:f>IF(B25=0,"PASS","ERROR")</x:f>
        <x:v>PASS</x:v>
      </x:c>
      <x:c r="D25" s="29" t="str">
        <x:v>end &gt;= start &gt;= 0</x:v>
      </x:c>
      <x:c r="E25" s="29" t="str">
        <x:v>PromptSegments</x:v>
      </x:c>
      <x:c r="F25" s="29" t="str"/>
      <x:c r="G25" s="29" t="str"/>
      <x:c r="H25" s="29" t="str"/>
    </x:row>
    <x:row r="26" ht="26" customHeight="1">
      <x:c r="A26" s="29" t="str">
        <x:v>Negative duration/count</x:v>
      </x:c>
      <x:c r="B26" s="29" t="n">
        <x:f>COUNTIFS('Requests'!$A$2:$A$10001,"DATA",'Requests'!$Z$2:$Z$10001,"&lt;0")+COUNTIFS('Requests'!$A$2:$A$10001,"DATA",'Requests'!$AS$2:$AS$10001,"&lt;0")</x:f>
        <x:v>0</x:v>
      </x:c>
      <x:c r="C26" s="29" t="str">
        <x:f>IF(B26=0,"PASS","ERROR")</x:f>
        <x:v>PASS</x:v>
      </x:c>
      <x:c r="D26" s="29" t="str">
        <x:v>关键数值不可为负</x:v>
      </x:c>
      <x:c r="E26" s="29" t="str">
        <x:v>Requests/Segments/Events</x:v>
      </x:c>
      <x:c r="F26" s="29" t="str"/>
      <x:c r="G26" s="29" t="str"/>
      <x:c r="H26" s="29" t="str"/>
    </x:row>
    <x:row r="27" ht="26" customHeight="1">
      <x:c r="A27" s="29" t="str">
        <x:v>Missing compatibility domain</x:v>
      </x:c>
      <x:c r="B27" s="29" t="n">
        <x:f>COUNTIFS('PromptSegments'!$A$2:$A$10001,"DATA",'PromptSegments'!$W$2:$W$10001,"")+COUNTIFS('CacheEvents'!$A$2:$A$10001,"DATA",'CacheEvents'!$Y$2:$Y$10001,"")</x:f>
        <x:v>0</x:v>
      </x:c>
      <x:c r="C27" s="29" t="str">
        <x:f>IF(B27=0,"PASS","ERROR")</x:f>
        <x:v>PASS</x:v>
      </x:c>
      <x:c r="D27" s="29" t="str">
        <x:v>DATA片段/事件必须有兼容域</x:v>
      </x:c>
      <x:c r="E27" s="29" t="str">
        <x:v>PromptSegments/CacheEvents</x:v>
      </x:c>
      <x:c r="F27" s="29" t="str"/>
      <x:c r="G27" s="29" t="str"/>
      <x:c r="H27" s="29" t="str"/>
    </x:row>
    <x:row r="28" ht="26" customHeight="1">
      <x:c r="A28" s="29" t="str">
        <x:v>Missing experiment_run_id</x:v>
      </x:c>
      <x:c r="B28" s="29" t="n">
        <x:f>COUNTIFS('Requests'!$A$2:$A$10001,"DATA",'Requests'!$D$2:$D$10001,"")</x:f>
        <x:v>0</x:v>
      </x:c>
      <x:c r="C28" s="29" t="str">
        <x:f>IF(B28=0,"PASS","ERROR")</x:f>
        <x:v>PASS</x:v>
      </x:c>
      <x:c r="D28" s="29" t="str">
        <x:v>DATA请求必须关联RunConfig</x:v>
      </x:c>
      <x:c r="E28" s="29" t="str">
        <x:v>Requests</x:v>
      </x:c>
      <x:c r="F28" s="29" t="str"/>
      <x:c r="G28" s="29" t="str"/>
      <x:c r="H28" s="29" t="str"/>
    </x:row>
    <x:row r="29" ht="26" customHeight="1">
      <x:c r="A29" s="29"/>
      <x:c r="B29" s="29"/>
      <x:c r="C29" s="29"/>
      <x:c r="D29" s="29"/>
      <x:c r="E29" s="29"/>
      <x:c r="F29" s="29"/>
      <x:c r="G29" s="29"/>
      <x:c r="H29" s="29"/>
    </x:row>
    <x:row r="30" ht="26" customHeight="1">
      <x:c r="A30" s="94" t="str">
        <x:v>记录数量</x:v>
      </x:c>
      <x:c r="B30" s="94" t="str">
        <x:v>记录数量</x:v>
      </x:c>
      <x:c r="C30" s="94" t="str">
        <x:v>记录数量</x:v>
      </x:c>
      <x:c r="D30" s="94" t="str">
        <x:v>记录数量</x:v>
      </x:c>
      <x:c r="E30" s="94" t="str">
        <x:v>记录数量</x:v>
      </x:c>
      <x:c r="F30" s="94" t="str">
        <x:v>记录数量</x:v>
      </x:c>
      <x:c r="G30" s="94" t="str">
        <x:v>记录数量</x:v>
      </x:c>
      <x:c r="H30" s="94" t="str">
        <x:v>记录数量</x:v>
      </x:c>
    </x:row>
    <x:row r="31" ht="26" customHeight="1">
      <x:c r="A31" s="96" t="str">
        <x:v>Sheet</x:v>
      </x:c>
      <x:c r="B31" s="96" t="str">
        <x:v>DATA rows</x:v>
      </x:c>
      <x:c r="C31" s="96" t="str">
        <x:v>EXAMPLE rows</x:v>
      </x:c>
      <x:c r="D31" s="96" t="str">
        <x:v>主键</x:v>
      </x:c>
      <x:c r="E31" s="96" t="str">
        <x:v>说明</x:v>
      </x:c>
      <x:c r="F31" s="96" t="str"/>
      <x:c r="G31" s="96" t="str"/>
      <x:c r="H31" s="96" t="str"/>
    </x:row>
    <x:row r="32" ht="26" customHeight="1">
      <x:c r="A32" s="29" t="str">
        <x:v>RunConfig</x:v>
      </x:c>
      <x:c r="B32" s="29" t="n">
        <x:f>COUNTIF('RunConfig'!$A$2:$A$10001,"DATA")</x:f>
        <x:v>0</x:v>
      </x:c>
      <x:c r="C32" s="29" t="n">
        <x:f>COUNTIF('RunConfig'!$A$2:$A$10001,"EXAMPLE")</x:f>
        <x:v>1</x:v>
      </x:c>
      <x:c r="D32" s="29" t="str">
        <x:v>experiment_run_id</x:v>
      </x:c>
      <x:c r="E32" s="29" t="str">
        <x:v>EXAMPLE不进入核心指标</x:v>
      </x:c>
      <x:c r="F32" s="29" t="str"/>
      <x:c r="G32" s="29" t="str"/>
      <x:c r="H32" s="29" t="str"/>
    </x:row>
    <x:row r="33" ht="26" customHeight="1">
      <x:c r="A33" s="29" t="str">
        <x:v>Requests</x:v>
      </x:c>
      <x:c r="B33" s="29" t="n">
        <x:f>COUNTIF('Requests'!$A$2:$A$10001,"DATA")</x:f>
        <x:v>0</x:v>
      </x:c>
      <x:c r="C33" s="29" t="n">
        <x:f>COUNTIF('Requests'!$A$2:$A$10001,"EXAMPLE")</x:f>
        <x:v>3</x:v>
      </x:c>
      <x:c r="D33" s="29" t="str">
        <x:v>request_id</x:v>
      </x:c>
      <x:c r="E33" s="29" t="str">
        <x:v>EXAMPLE不进入核心指标</x:v>
      </x:c>
      <x:c r="F33" s="29" t="str"/>
      <x:c r="G33" s="29" t="str"/>
      <x:c r="H33" s="29" t="str"/>
    </x:row>
    <x:row r="34" ht="26" customHeight="1">
      <x:c r="A34" s="29" t="str">
        <x:v>PromptSegments</x:v>
      </x:c>
      <x:c r="B34" s="29" t="n">
        <x:f>COUNTIF('PromptSegments'!$A$2:$A$10001,"DATA")</x:f>
        <x:v>0</x:v>
      </x:c>
      <x:c r="C34" s="29" t="n">
        <x:f>COUNTIF('PromptSegments'!$A$2:$A$10001,"EXAMPLE")</x:f>
        <x:v>5</x:v>
      </x:c>
      <x:c r="D34" s="29" t="str">
        <x:v>segment_id</x:v>
      </x:c>
      <x:c r="E34" s="29" t="str">
        <x:v>EXAMPLE不进入核心指标</x:v>
      </x:c>
      <x:c r="F34" s="29" t="str"/>
      <x:c r="G34" s="29" t="str"/>
      <x:c r="H34" s="29" t="str"/>
    </x:row>
    <x:row r="35" ht="26" customHeight="1">
      <x:c r="A35" s="29" t="str">
        <x:v>CacheEvents</x:v>
      </x:c>
      <x:c r="B35" s="29" t="n">
        <x:f>COUNTIF('CacheEvents'!$A$2:$A$10001,"DATA")</x:f>
        <x:v>0</x:v>
      </x:c>
      <x:c r="C35" s="29" t="n">
        <x:f>COUNTIF('CacheEvents'!$A$2:$A$10001,"EXAMPLE")</x:f>
        <x:v>4</x:v>
      </x:c>
      <x:c r="D35" s="29" t="str">
        <x:v>cache_event_id</x:v>
      </x:c>
      <x:c r="E35" s="29" t="str">
        <x:v>EXAMPLE不进入核心指标</x:v>
      </x:c>
      <x:c r="F35" s="29" t="str"/>
      <x:c r="G35" s="29" t="str"/>
      <x:c r="H35" s="29" t="str"/>
    </x:row>
    <x:row r="36" ht="26" customHeight="1">
      <x:c r="A36" s="29" t="str">
        <x:v>AgentSteps</x:v>
      </x:c>
      <x:c r="B36" s="29" t="n">
        <x:f>COUNTIF('AgentSteps'!$A$2:$A$10001,"DATA")</x:f>
        <x:v>0</x:v>
      </x:c>
      <x:c r="C36" s="29" t="n">
        <x:f>COUNTIF('AgentSteps'!$A$2:$A$10001,"EXAMPLE")</x:f>
        <x:v>3</x:v>
      </x:c>
      <x:c r="D36" s="29" t="str">
        <x:v>step_id</x:v>
      </x:c>
      <x:c r="E36" s="29" t="str">
        <x:v>EXAMPLE不进入核心指标</x:v>
      </x:c>
      <x:c r="F36" s="29" t="str"/>
      <x:c r="G36" s="29" t="str"/>
      <x:c r="H36" s="29" t="str"/>
    </x:row>
    <x:row r="37" ht="26" customHeight="1">
      <x:c r="A37" s="29" t="str">
        <x:v>FileChanges</x:v>
      </x:c>
      <x:c r="B37" s="29" t="n">
        <x:f>COUNTIF('FileChanges'!$A$2:$A$10001,"DATA")</x:f>
        <x:v>0</x:v>
      </x:c>
      <x:c r="C37" s="29" t="n">
        <x:f>COUNTIF('FileChanges'!$A$2:$A$10001,"EXAMPLE")</x:f>
        <x:v>2</x:v>
      </x:c>
      <x:c r="D37" s="29" t="str">
        <x:v>change_id</x:v>
      </x:c>
      <x:c r="E37" s="29" t="str">
        <x:v>EXAMPLE不进入核心指标</x:v>
      </x:c>
      <x:c r="F37" s="29" t="str"/>
      <x:c r="G37" s="29" t="str"/>
      <x:c r="H37" s="29" t="str"/>
    </x:row>
  </x:sheetData>
  <x:mergeCells>
    <x:mergeCell ref="A1:H2"/>
    <x:mergeCell ref="A3:H3"/>
    <x:mergeCell ref="A5:B5"/>
    <x:mergeCell ref="C5:D5"/>
    <x:mergeCell ref="E5:F5"/>
    <x:mergeCell ref="G5:H5"/>
    <x:mergeCell ref="A6:B6"/>
    <x:mergeCell ref="C6:D6"/>
    <x:mergeCell ref="E6:F6"/>
    <x:mergeCell ref="G6:H6"/>
    <x:mergeCell ref="A8:H8"/>
    <x:mergeCell ref="A20:H20"/>
    <x:mergeCell ref="A30:H30"/>
  </x:mergeCells>
  <x:conditionalFormatting sqref="D10:D18">
    <x:cfRule type="containsText" dxfId="6" priority="1" operator="containsText" text="PASS"/>
    <x:cfRule type="containsText" dxfId="7" priority="2" operator="containsText" text="CHECK"/>
  </x:conditionalFormatting>
  <x:conditionalFormatting sqref="C22:C28">
    <x:cfRule type="containsText" dxfId="8" priority="3" operator="containsText" text="PASS"/>
    <x:cfRule type="containsText" dxfId="9" priority="4" operator="containsText" text="ERROR"/>
  </x:conditionalFormatting>
  <x:conditionalFormatting sqref="A6:B6">
    <x:cfRule type="containsText" dxfId="10" priority="5" operator="containsText" text="READY"/>
    <x:cfRule type="containsText" dxfId="11" priority="6" operator="containsText" text="CHECK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0" hidden="0" customWidth="1"/>
    <x:col min="5" max="5" width="48" hidden="0" customWidth="1"/>
    <x:col min="6" max="6" width="12" hidden="0" customWidth="1"/>
    <x:col min="7" max="7" width="16" hidden="0" customWidth="1"/>
    <x:col min="8" max="8" width="44" hidden="0" customWidth="1"/>
    <x:col min="9" max="9" width="34" hidden="0" customWidth="1"/>
    <x:col min="10" max="10" width="18" hidden="0" customWidth="1"/>
  </x:cols>
  <x:sheetData>
    <x:row r="1" ht="34" customHeight="1">
      <x:c r="A1" s="102" t="str">
        <x:v>metric_id</x:v>
      </x:c>
      <x:c r="B1" s="102" t="str">
        <x:v>中文名称</x:v>
      </x:c>
      <x:c r="C1" s="102" t="str">
        <x:v>English name</x:v>
      </x:c>
      <x:c r="D1" s="102" t="str">
        <x:v>level</x:v>
      </x:c>
      <x:c r="E1" s="102" t="str">
        <x:v>formula</x:v>
      </x:c>
      <x:c r="F1" s="102" t="str">
        <x:v>unit</x:v>
      </x:c>
      <x:c r="G1" s="102" t="str">
        <x:v>headline_use</x:v>
      </x:c>
      <x:c r="H1" s="102" t="str">
        <x:v>inclusion_rule</x:v>
      </x:c>
      <x:c r="I1" s="102" t="str">
        <x:v>required_slices</x:v>
      </x:c>
      <x:c r="J1" s="102" t="str">
        <x:v>target_status</x:v>
      </x:c>
    </x:row>
    <x:row r="2" ht="44" customHeight="1">
      <x:c r="A2" s="100" t="str">
        <x:v>H_request</x:v>
      </x:c>
      <x:c r="B2" s="100" t="str">
        <x:v>请求命中率</x:v>
      </x:c>
      <x:c r="C2" s="100" t="str">
        <x:v>Request hit rate</x:v>
      </x:c>
      <x:c r="D2" s="100" t="str">
        <x:v>Request</x:v>
      </x:c>
      <x:c r="E2" s="100" t="str">
        <x:v>N(logical_hit_token_count&gt;0)/N(request)</x:v>
      </x:c>
      <x:c r="F2" s="100" t="str">
        <x:v>ratio</x:v>
      </x:c>
      <x:c r="G2" s="100" t="str">
        <x:v>辅助</x:v>
      </x:c>
      <x:c r="H2" s="100" t="str">
        <x:v>包含失败/超时/绕过并分组</x:v>
      </x:c>
      <x:c r="I2" s="100" t="str">
        <x:v>场景/冷热/命中形态</x:v>
      </x:c>
      <x:c r="J2" s="100" t="str">
        <x:v>无固定目标</x:v>
      </x:c>
    </x:row>
    <x:row r="3" ht="44" customHeight="1">
      <x:c r="A3" s="100" t="str">
        <x:v>H_token</x:v>
      </x:c>
      <x:c r="B3" s="100" t="str">
        <x:v>逻辑Token命中率</x:v>
      </x:c>
      <x:c r="C3" s="100" t="str">
        <x:v>Logical token hit rate</x:v>
      </x:c>
      <x:c r="D3" s="100" t="str">
        <x:v>Request aggregate</x:v>
      </x:c>
      <x:c r="E3" s="100" t="str">
        <x:v>Σ logical_hit_token_count / Σ prompt_token_count</x:v>
      </x:c>
      <x:c r="F3" s="100" t="str">
        <x:v>ratio</x:v>
      </x:c>
      <x:c r="G3" s="100" t="str">
        <x:v>辅助</x:v>
      </x:c>
      <x:c r="H3" s="100" t="str">
        <x:v>分母为全部Prompt Token</x:v>
      </x:c>
      <x:c r="I3" s="100" t="str">
        <x:v>场景/层级/长度/并发</x:v>
      </x:c>
      <x:c r="J3" s="100" t="str">
        <x:v>无固定目标</x:v>
      </x:c>
    </x:row>
    <x:row r="4" ht="44" customHeight="1">
      <x:c r="A4" s="100" t="str">
        <x:v>H_effective</x:v>
      </x:c>
      <x:c r="B4" s="100" t="str">
        <x:v>有效Token命中率</x:v>
      </x:c>
      <x:c r="C4" s="100" t="str">
        <x:v>Effective token hit rate</x:v>
      </x:c>
      <x:c r="D4" s="100" t="str">
        <x:v>Request aggregate</x:v>
      </x:c>
      <x:c r="E4" s="100" t="str">
        <x:v>Σ effective_hit_token_count / Σ prompt_token_count</x:v>
      </x:c>
      <x:c r="F4" s="100" t="str">
        <x:v>ratio</x:v>
      </x:c>
      <x:c r="G4" s="100" t="str">
        <x:v>主要</x:v>
      </x:c>
      <x:c r="H4" s="100" t="str">
        <x:v>读+传+恢复快于重算；分母为全部Prompt Token</x:v>
      </x:c>
      <x:c r="I4" s="100" t="str">
        <x:v>场景/层级/长度/并发</x:v>
      </x:c>
      <x:c r="J4" s="100" t="str">
        <x:v>70%/95%候选</x:v>
      </x:c>
    </x:row>
    <x:row r="5" ht="44" customHeight="1">
      <x:c r="A5" s="100" t="str">
        <x:v>H_negative</x:v>
      </x:c>
      <x:c r="B5" s="100" t="str">
        <x:v>负收益命中率</x:v>
      </x:c>
      <x:c r="C5" s="100" t="str">
        <x:v>Negative-benefit hit rate</x:v>
      </x:c>
      <x:c r="D5" s="100" t="str">
        <x:v>Request aggregate</x:v>
      </x:c>
      <x:c r="E5" s="100" t="str">
        <x:v>Σ negative_hit_token_count / Σ logical_hit_token_count</x:v>
      </x:c>
      <x:c r="F5" s="100" t="str">
        <x:v>ratio</x:v>
      </x:c>
      <x:c r="G5" s="100" t="str">
        <x:v>风险</x:v>
      </x:c>
      <x:c r="H5" s="100" t="str">
        <x:v>逻辑命中但读取不快于重算</x:v>
      </x:c>
      <x:c r="I5" s="100" t="str">
        <x:v>层级/块大小/带宽</x:v>
      </x:c>
      <x:c r="J5" s="100" t="str">
        <x:v>越低越好</x:v>
      </x:c>
    </x:row>
    <x:row r="6" ht="44" customHeight="1">
      <x:c r="A6" s="100" t="str">
        <x:v>H_tier</x:v>
      </x:c>
      <x:c r="B6" s="100" t="str">
        <x:v>分层Token命中率</x:v>
      </x:c>
      <x:c r="C6" s="100" t="str">
        <x:v>Tier token hit rate</x:v>
      </x:c>
      <x:c r="D6" s="100" t="str">
        <x:v>Cache tier</x:v>
      </x:c>
      <x:c r="E6" s="100" t="str">
        <x:v>Σ tier_hit_tokens / Σ prompt_token_count</x:v>
      </x:c>
      <x:c r="F6" s="100" t="str">
        <x:v>ratio</x:v>
      </x:c>
      <x:c r="G6" s="100" t="str">
        <x:v>分解</x:v>
      </x:c>
      <x:c r="H6" s="100" t="str">
        <x:v>每个Token只归属一个实际服务层</x:v>
      </x:c>
      <x:c r="I6" s="100" t="str">
        <x:v>HBM/DRAM/SSD/REMOTE</x:v>
      </x:c>
      <x:c r="J6" s="100" t="str">
        <x:v>无固定目标</x:v>
      </x:c>
    </x:row>
    <x:row r="7" ht="44" customHeight="1">
      <x:c r="A7" s="100" t="str">
        <x:v>H_eligible</x:v>
      </x:c>
      <x:c r="B7" s="100" t="str">
        <x:v>可缓存Token命中率</x:v>
      </x:c>
      <x:c r="C7" s="100" t="str">
        <x:v>Eligible token hit rate</x:v>
      </x:c>
      <x:c r="D7" s="100" t="str">
        <x:v>Diagnostic</x:v>
      </x:c>
      <x:c r="E7" s="100" t="str">
        <x:v>Σ logical_hit_token_count / Σ eligible_prefix_token_count</x:v>
      </x:c>
      <x:c r="F7" s="100" t="str">
        <x:v>ratio</x:v>
      </x:c>
      <x:c r="G7" s="100" t="str">
        <x:v>仅诊断</x:v>
      </x:c>
      <x:c r="H7" s="100" t="str">
        <x:v>不得作为95%对外主口径</x:v>
      </x:c>
      <x:c r="I7" s="100" t="str">
        <x:v>算法/布局</x:v>
      </x:c>
      <x:c r="J7" s="100" t="str">
        <x:v>无固定目标</x:v>
      </x:c>
    </x:row>
    <x:row r="8" ht="44" customHeight="1">
      <x:c r="A8" s="100" t="str">
        <x:v>PrefixOverlap</x:v>
      </x:c>
      <x:c r="B8" s="100" t="str">
        <x:v>最长精确前缀比例</x:v>
      </x:c>
      <x:c r="C8" s="100" t="str">
        <x:v>Exact prefix overlap</x:v>
      </x:c>
      <x:c r="D8" s="100" t="str">
        <x:v>Request</x:v>
      </x:c>
      <x:c r="E8" s="100" t="str">
        <x:v>prefix_match_token_count / prompt_token_count</x:v>
      </x:c>
      <x:c r="F8" s="100" t="str">
        <x:v>ratio</x:v>
      </x:c>
      <x:c r="G8" s="100" t="str">
        <x:v>诊断</x:v>
      </x:c>
      <x:c r="H8" s="100" t="str">
        <x:v>相同Token前缀，不代表一定读取缓存</x:v>
      </x:c>
      <x:c r="I8" s="100" t="str">
        <x:v>组件/布局</x:v>
      </x:c>
      <x:c r="J8" s="100" t="str">
        <x:v>无固定目标</x:v>
      </x:c>
    </x:row>
    <x:row r="9" ht="44" customHeight="1">
      <x:c r="A9" s="100" t="str">
        <x:v>TTFT_e2e</x:v>
      </x:c>
      <x:c r="B9" s="100" t="str">
        <x:v>端到端TTFT</x:v>
      </x:c>
      <x:c r="C9" s="100" t="str">
        <x:v>End-to-end TTFT</x:v>
      </x:c>
      <x:c r="D9" s="100" t="str">
        <x:v>Request</x:v>
      </x:c>
      <x:c r="E9" s="100" t="str">
        <x:v>request accepted -&gt; first output token</x:v>
      </x:c>
      <x:c r="F9" s="100" t="str">
        <x:v>ms</x:v>
      </x:c>
      <x:c r="G9" s="100" t="str">
        <x:v>主要</x:v>
      </x:c>
      <x:c r="H9" s="100" t="str">
        <x:v>同时记录queue与engine TTFT</x:v>
      </x:c>
      <x:c r="I9" s="100" t="str">
        <x:v>P50/P95/P99、命中形态</x:v>
      </x:c>
      <x:c r="J9" s="100" t="str">
        <x:v>无固定绝对值</x:v>
      </x:c>
    </x:row>
    <x:row r="10" ht="44" customHeight="1">
      <x:c r="A10" s="100" t="str">
        <x:v>TTFT_engine</x:v>
      </x:c>
      <x:c r="B10" s="100" t="str">
        <x:v>引擎TTFT</x:v>
      </x:c>
      <x:c r="C10" s="100" t="str">
        <x:v>Engine TTFT</x:v>
      </x:c>
      <x:c r="D10" s="100" t="str">
        <x:v>Request</x:v>
      </x:c>
      <x:c r="E10" s="100" t="str">
        <x:v>engine execution start -&gt; first output token</x:v>
      </x:c>
      <x:c r="F10" s="100" t="str">
        <x:v>ms</x:v>
      </x:c>
      <x:c r="G10" s="100" t="str">
        <x:v>辅助</x:v>
      </x:c>
      <x:c r="H10" s="100" t="str">
        <x:v>不包含上游排队</x:v>
      </x:c>
      <x:c r="I10" s="100" t="str">
        <x:v>P50/P95/P99</x:v>
      </x:c>
      <x:c r="J10" s="100" t="str">
        <x:v>无固定目标</x:v>
      </x:c>
    </x:row>
    <x:row r="11" ht="44" customHeight="1">
      <x:c r="A11" s="100" t="str">
        <x:v>G_TTFT</x:v>
      </x:c>
      <x:c r="B11" s="100" t="str">
        <x:v>TTFT改善</x:v>
      </x:c>
      <x:c r="C11" s="100" t="str">
        <x:v>TTFT gain</x:v>
      </x:c>
      <x:c r="D11" s="100" t="str">
        <x:v>Paired request</x:v>
      </x:c>
      <x:c r="E11" s="100" t="str">
        <x:v>(baseline_e2e_ttft_ms-e2e_ttft_ms)/baseline_e2e_ttft_ms</x:v>
      </x:c>
      <x:c r="F11" s="100" t="str">
        <x:v>ratio</x:v>
      </x:c>
      <x:c r="G11" s="100" t="str">
        <x:v>主要</x:v>
      </x:c>
      <x:c r="H11" s="100" t="str">
        <x:v>相同Token与配置的配对请求</x:v>
      </x:c>
      <x:c r="I11" s="100" t="str">
        <x:v>P50/P95/P99、并发</x:v>
      </x:c>
      <x:c r="J11" s="100" t="str">
        <x:v>90%候选</x:v>
      </x:c>
    </x:row>
    <x:row r="12" ht="44" customHeight="1">
      <x:c r="A12" s="100" t="str">
        <x:v>PrefillSpeedup</x:v>
      </x:c>
      <x:c r="B12" s="100" t="str">
        <x:v>Prefill加速</x:v>
      </x:c>
      <x:c r="C12" s="100" t="str">
        <x:v>Prefill speedup</x:v>
      </x:c>
      <x:c r="D12" s="100" t="str">
        <x:v>Paired request</x:v>
      </x:c>
      <x:c r="E12" s="100" t="str">
        <x:v>baseline_prefill_ms/cache_prefill_path_ms</x:v>
      </x:c>
      <x:c r="F12" s="100" t="str">
        <x:v>x</x:v>
      </x:c>
      <x:c r="G12" s="100" t="str">
        <x:v>辅助</x:v>
      </x:c>
      <x:c r="H12" s="100" t="str">
        <x:v>注明读取/恢复是否计入</x:v>
      </x:c>
      <x:c r="I12" s="100" t="str">
        <x:v>长度/命中率</x:v>
      </x:c>
      <x:c r="J12" s="100" t="str">
        <x:v>无固定目标</x:v>
      </x:c>
    </x:row>
    <x:row r="13" ht="44" customHeight="1">
      <x:c r="A13" s="100" t="str">
        <x:v>C_ratio</x:v>
      </x:c>
      <x:c r="B13" s="100" t="str">
        <x:v>端到端成本比</x:v>
      </x:c>
      <x:c r="C13" s="100" t="str">
        <x:v>End-to-end cost ratio</x:v>
      </x:c>
      <x:c r="D13" s="100" t="str">
        <x:v>Aggregate</x:v>
      </x:c>
      <x:c r="E13" s="100" t="str">
        <x:v>Σ system_cost_units / Σ baseline_cost_units</x:v>
      </x:c>
      <x:c r="F13" s="100" t="str">
        <x:v>ratio</x:v>
      </x:c>
      <x:c r="G13" s="100" t="str">
        <x:v>主要</x:v>
      </x:c>
      <x:c r="H13" s="100" t="str">
        <x:v>同费率版本；含GPU/CPU/存储/网络/运维</x:v>
      </x:c>
      <x:c r="I13" s="100" t="str">
        <x:v>场景/并发</x:v>
      </x:c>
      <x:c r="J13" s="100" t="str">
        <x:v>10%候选</x:v>
      </x:c>
    </x:row>
    <x:row r="14" ht="44" customHeight="1">
      <x:c r="A14" s="100" t="str">
        <x:v>Throughput_req</x:v>
      </x:c>
      <x:c r="B14" s="100" t="str">
        <x:v>请求吞吐</x:v>
      </x:c>
      <x:c r="C14" s="100" t="str">
        <x:v>Request throughput</x:v>
      </x:c>
      <x:c r="D14" s="100" t="str">
        <x:v>Window</x:v>
      </x:c>
      <x:c r="E14" s="100" t="str">
        <x:v>completed requests / measurement seconds</x:v>
      </x:c>
      <x:c r="F14" s="100" t="str">
        <x:v>req/s</x:v>
      </x:c>
      <x:c r="G14" s="100" t="str">
        <x:v>辅助</x:v>
      </x:c>
      <x:c r="H14" s="100" t="str">
        <x:v>失败/超时另报</x:v>
      </x:c>
      <x:c r="I14" s="100" t="str">
        <x:v>并发/长度</x:v>
      </x:c>
      <x:c r="J14" s="100" t="str">
        <x:v>无固定目标</x:v>
      </x:c>
    </x:row>
    <x:row r="15" ht="44" customHeight="1">
      <x:c r="A15" s="100" t="str">
        <x:v>Throughput_prompt</x:v>
      </x:c>
      <x:c r="B15" s="100" t="str">
        <x:v>Prompt吞吐</x:v>
      </x:c>
      <x:c r="C15" s="100" t="str">
        <x:v>Prompt token throughput</x:v>
      </x:c>
      <x:c r="D15" s="100" t="str">
        <x:v>Window</x:v>
      </x:c>
      <x:c r="E15" s="100" t="str">
        <x:v>Σ prompt_token_count / measurement seconds</x:v>
      </x:c>
      <x:c r="F15" s="100" t="str">
        <x:v>token/s</x:v>
      </x:c>
      <x:c r="G15" s="100" t="str">
        <x:v>辅助</x:v>
      </x:c>
      <x:c r="H15" s="100" t="str">
        <x:v>注明缓存复用Token是否另报</x:v>
      </x:c>
      <x:c r="I15" s="100" t="str">
        <x:v>并发/长度</x:v>
      </x:c>
      <x:c r="J15" s="100" t="str">
        <x:v>无固定目标</x:v>
      </x:c>
    </x:row>
    <x:row r="16" ht="44" customHeight="1">
      <x:c r="A16" s="100" t="str">
        <x:v>OutputMatch</x:v>
      </x:c>
      <x:c r="B16" s="100" t="str">
        <x:v>输出Token一致率</x:v>
      </x:c>
      <x:c r="C16" s="100" t="str">
        <x:v>Output token match rate</x:v>
      </x:c>
      <x:c r="D16" s="100" t="str">
        <x:v>Paired request</x:v>
      </x:c>
      <x:c r="E16" s="100" t="str">
        <x:v>matching generated tokens / compared tokens</x:v>
      </x:c>
      <x:c r="F16" s="100" t="str">
        <x:v>ratio</x:v>
      </x:c>
      <x:c r="G16" s="100" t="str">
        <x:v>正确性</x:v>
      </x:c>
      <x:c r="H16" s="100" t="str">
        <x:v>精确前缀方案应独立验证</x:v>
      </x:c>
      <x:c r="I16" s="100" t="str">
        <x:v>场景/长度</x:v>
      </x:c>
      <x:c r="J16" s="100" t="str">
        <x:v>推荐100%</x:v>
      </x:c>
    </x:row>
    <x:row r="17" ht="44" customHeight="1">
      <x:c r="A17" s="100" t="str">
        <x:v>LogitError</x:v>
      </x:c>
      <x:c r="B17" s="100" t="str">
        <x:v>最大Logit绝对误差</x:v>
      </x:c>
      <x:c r="C17" s="100" t="str">
        <x:v>Max logit absolute error</x:v>
      </x:c>
      <x:c r="D17" s="100" t="str">
        <x:v>Paired request</x:v>
      </x:c>
      <x:c r="E17" s="100" t="str">
        <x:v>max |logit_cache-logit_baseline|</x:v>
      </x:c>
      <x:c r="F17" s="100" t="str">
        <x:v>absolute</x:v>
      </x:c>
      <x:c r="G17" s="100" t="str">
        <x:v>质量</x:v>
      </x:c>
      <x:c r="H17" s="100" t="str">
        <x:v>低精度与精确方案分开</x:v>
      </x:c>
      <x:c r="I17" s="100" t="str">
        <x:v>模型/精度/长度</x:v>
      </x:c>
      <x:c r="J17" s="100" t="str">
        <x:v>待确认</x:v>
      </x:c>
    </x:row>
    <x:row r="18" ht="44" customHeight="1">
      <x:c r="A18" s="100" t="str">
        <x:v>TaskSuccess</x:v>
      </x:c>
      <x:c r="B18" s="100" t="str">
        <x:v>任务成功率</x:v>
      </x:c>
      <x:c r="C18" s="100" t="str">
        <x:v>Task success rate</x:v>
      </x:c>
      <x:c r="D18" s="100" t="str">
        <x:v>Task</x:v>
      </x:c>
      <x:c r="E18" s="100" t="str">
        <x:v>successful tasks / evaluated tasks</x:v>
      </x:c>
      <x:c r="F18" s="100" t="str">
        <x:v>ratio</x:v>
      </x:c>
      <x:c r="G18" s="100" t="str">
        <x:v>质量</x:v>
      </x:c>
      <x:c r="H18" s="100" t="str">
        <x:v>冻结任务判定器和数据集</x:v>
      </x:c>
      <x:c r="I18" s="100" t="str">
        <x:v>任务类型/精度</x:v>
      </x:c>
      <x:c r="J18" s="100" t="str">
        <x:v>待确认</x:v>
      </x:c>
    </x:row>
    <x:row r="19" ht="44" customHeight="1">
      <x:c r="A19" s="100" t="str">
        <x:v>TraceComplete</x:v>
      </x:c>
      <x:c r="B19" s="100" t="str">
        <x:v>Trace必填完整率</x:v>
      </x:c>
      <x:c r="C19" s="100" t="str">
        <x:v>Trace required-field completeness</x:v>
      </x:c>
      <x:c r="D19" s="100" t="str">
        <x:v>Dataset</x:v>
      </x:c>
      <x:c r="E19" s="100" t="str">
        <x:v>non-null required fields / required fields</x:v>
      </x:c>
      <x:c r="F19" s="100" t="str">
        <x:v>ratio</x:v>
      </x:c>
      <x:c r="G19" s="100" t="str">
        <x:v>数据质量</x:v>
      </x:c>
      <x:c r="H19" s="100" t="str">
        <x:v>按FieldDictionary Required统计</x:v>
      </x:c>
      <x:c r="I19" s="100" t="str">
        <x:v>sheet/collector</x:v>
      </x:c>
      <x:c r="J19" s="100" t="str">
        <x:v>待确认</x:v>
      </x:c>
    </x:row>
    <x:row r="20" ht="44" customHeight="1">
      <x:c r="A20" s="100" t="str">
        <x:v>TokenAccounting</x:v>
      </x:c>
      <x:c r="B20" s="100" t="str">
        <x:v>Token账户错误数</x:v>
      </x:c>
      <x:c r="C20" s="100" t="str">
        <x:v>Token accounting errors</x:v>
      </x:c>
      <x:c r="D20" s="100" t="str">
        <x:v>Request</x:v>
      </x:c>
      <x:c r="E20" s="100" t="str">
        <x:v>count(tier hits + miss != prompt tokens)</x:v>
      </x:c>
      <x:c r="F20" s="100" t="str">
        <x:v>count</x:v>
      </x:c>
      <x:c r="G20" s="100" t="str">
        <x:v>数据质量</x:v>
      </x:c>
      <x:c r="H20" s="100" t="str">
        <x:v>同一Token不跨层重复</x:v>
      </x:c>
      <x:c r="I20" s="100" t="str">
        <x:v>run/collector</x:v>
      </x:c>
      <x:c r="J20" s="100" t="str">
        <x:v>必须为0</x:v>
      </x:c>
    </x:row>
  </x:sheetData>
  <x:conditionalFormatting sqref="J2:J20">
    <x:cfRule type="containsText" dxfId="12" priority="1" operator="containsText" text="候选"/>
  </x:conditionalFormatting>
  <x:pageMargins left="0.7" right="0.7" top="0.75" bottom="0.75" header="0.3" footer="0.3"/>
  <x:tableParts count="1">
    <x:tablePart xmlns:r="http://schemas.openxmlformats.org/officeDocument/2006/relationships" r:id="R8c3889a392d249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18" hidden="0" customWidth="1"/>
    <x:col min="5" max="5" width="14" hidden="0" customWidth="1"/>
    <x:col min="6" max="6" width="12" hidden="0" customWidth="1"/>
    <x:col min="7" max="7" width="50" hidden="0" customWidth="1"/>
    <x:col min="8" max="8" width="42" hidden="0" customWidth="1"/>
    <x:col min="9" max="9" width="16" hidden="0" customWidth="1"/>
    <x:col min="10" max="10" width="24" hidden="0" customWidth="1"/>
    <x:col min="11" max="11" width="34" hidden="0" customWidth="1"/>
  </x:cols>
  <x:sheetData>
    <x:row r="1" ht="34" customHeight="1">
      <x:c r="A1" s="102" t="str">
        <x:v>sheet_name</x:v>
      </x:c>
      <x:c r="B1" s="102" t="str">
        <x:v>field_name</x:v>
      </x:c>
      <x:c r="C1" s="102" t="str">
        <x:v>group</x:v>
      </x:c>
      <x:c r="D1" s="102" t="str">
        <x:v>required_level</x:v>
      </x:c>
      <x:c r="E1" s="102" t="str">
        <x:v>data_type</x:v>
      </x:c>
      <x:c r="F1" s="102" t="str">
        <x:v>unit</x:v>
      </x:c>
      <x:c r="G1" s="102" t="str">
        <x:v>description</x:v>
      </x:c>
      <x:c r="H1" s="102" t="str">
        <x:v>allowed_values</x:v>
      </x:c>
      <x:c r="I1" s="102" t="str">
        <x:v>sensitivity</x:v>
      </x:c>
      <x:c r="J1" s="102" t="str">
        <x:v>collector</x:v>
      </x:c>
      <x:c r="K1" s="102" t="str">
        <x:v>example_value</x:v>
      </x:c>
    </x:row>
    <x:row r="2">
      <x:c r="A2" s="100" t="str">
        <x:v>RunConfig</x:v>
      </x:c>
      <x:c r="B2" s="100" t="str">
        <x:v>record_kind</x:v>
      </x:c>
      <x:c r="C2" s="100" t="str">
        <x:v>Identity</x:v>
      </x:c>
      <x:c r="D2" s="100" t="str">
        <x:v>Required</x:v>
      </x:c>
      <x:c r="E2" s="100" t="str">
        <x:v>text</x:v>
      </x:c>
      <x:c r="F2" s="100" t="str"/>
      <x:c r="G2" s="100" t="str">
        <x:v>DATA进入正式统计；EXAMPLE仅用于说明字段与公式。</x:v>
      </x:c>
      <x:c r="H2" s="100" t="str">
        <x:v>DATA | EXAMPLE</x:v>
      </x:c>
      <x:c r="I2" s="100" t="str">
        <x:v>Internal</x:v>
      </x:c>
      <x:c r="J2" s="100" t="str">
        <x:v>Experiment harness</x:v>
      </x:c>
      <x:c r="K2" s="100" t="str">
        <x:v>EXAMPLE</x:v>
      </x:c>
    </x:row>
    <x:row r="3">
      <x:c r="A3" s="100" t="str">
        <x:v>RunConfig</x:v>
      </x:c>
      <x:c r="B3" s="100" t="str">
        <x:v>schema_version</x:v>
      </x:c>
      <x:c r="C3" s="100" t="str">
        <x:v>Identity</x:v>
      </x:c>
      <x:c r="D3" s="100" t="str">
        <x:v>Required</x:v>
      </x:c>
      <x:c r="E3" s="100" t="str">
        <x:v>text</x:v>
      </x:c>
      <x:c r="F3" s="100" t="str"/>
      <x:c r="G3" s="100" t="str">
        <x:v>当前数据表记录结构版本。</x:v>
      </x:c>
      <x:c r="H3" s="100" t="str"/>
      <x:c r="I3" s="100" t="str">
        <x:v>Internal</x:v>
      </x:c>
      <x:c r="J3" s="100" t="str">
        <x:v>Experiment harness</x:v>
      </x:c>
      <x:c r="K3" s="100" t="str">
        <x:v>1.0</x:v>
      </x:c>
    </x:row>
    <x:row r="4">
      <x:c r="A4" s="100" t="str">
        <x:v>RunConfig</x:v>
      </x:c>
      <x:c r="B4" s="100" t="str">
        <x:v>experiment_run_id</x:v>
      </x:c>
      <x:c r="C4" s="100" t="str">
        <x:v>Identity</x:v>
      </x:c>
      <x:c r="D4" s="100" t="str">
        <x:v>Required</x:v>
      </x:c>
      <x:c r="E4" s="100" t="str">
        <x:v>text</x:v>
      </x:c>
      <x:c r="F4" s="100" t="str"/>
      <x:c r="G4" s="100" t="str">
        <x:v>关联RunConfig的实验运行标识。</x:v>
      </x:c>
      <x:c r="H4" s="100" t="str"/>
      <x:c r="I4" s="100" t="str">
        <x:v>Internal</x:v>
      </x:c>
      <x:c r="J4" s="100" t="str">
        <x:v>Experiment harness</x:v>
      </x:c>
      <x:c r="K4" s="100" t="str">
        <x:v>ex_run_001</x:v>
      </x:c>
    </x:row>
    <x:row r="5">
      <x:c r="A5" s="100" t="str">
        <x:v>RunConfig</x:v>
      </x:c>
      <x:c r="B5" s="100" t="str">
        <x:v>dataset_version</x:v>
      </x:c>
      <x:c r="C5" s="100" t="str">
        <x:v>Reproducibility</x:v>
      </x:c>
      <x:c r="D5" s="100" t="str">
        <x:v>Required</x:v>
      </x:c>
      <x:c r="E5" s="100" t="str">
        <x:v>text</x:v>
      </x:c>
      <x:c r="F5" s="100" t="str"/>
      <x:c r="G5" s="100" t="str">
        <x:v>验收或实验数据集的不可变版本。</x:v>
      </x:c>
      <x:c r="H5" s="100" t="str"/>
      <x:c r="I5" s="100" t="str">
        <x:v>Internal</x:v>
      </x:c>
      <x:c r="J5" s="100" t="str">
        <x:v>Experiment harness</x:v>
      </x:c>
      <x:c r="K5" s="100" t="str">
        <x:v>synthetic_demo_v1</x:v>
      </x:c>
    </x:row>
    <x:row r="6">
      <x:c r="A6" s="100" t="str">
        <x:v>RunConfig</x:v>
      </x:c>
      <x:c r="B6" s="100" t="str">
        <x:v>split_id</x:v>
      </x:c>
      <x:c r="C6" s="100" t="str">
        <x:v>Reproducibility</x:v>
      </x:c>
      <x:c r="D6" s="100" t="str">
        <x:v>Recommended</x:v>
      </x:c>
      <x:c r="E6" s="100" t="str">
        <x:v>text</x:v>
      </x:c>
      <x:c r="F6" s="100" t="str"/>
      <x:c r="G6" s="100" t="str">
        <x:v>训练/调参/验证/验收切分标识。</x:v>
      </x:c>
      <x:c r="H6" s="100" t="str"/>
      <x:c r="I6" s="100" t="str">
        <x:v>Internal</x:v>
      </x:c>
      <x:c r="J6" s="100" t="str">
        <x:v>Experiment harness</x:v>
      </x:c>
      <x:c r="K6" s="100" t="str">
        <x:v>pilot</x:v>
      </x:c>
    </x:row>
    <x:row r="7">
      <x:c r="A7" s="100" t="str">
        <x:v>RunConfig</x:v>
      </x:c>
      <x:c r="B7" s="100" t="str">
        <x:v>trace_schema_version</x:v>
      </x:c>
      <x:c r="C7" s="100" t="str">
        <x:v>Reproducibility</x:v>
      </x:c>
      <x:c r="D7" s="100" t="str">
        <x:v>Required</x:v>
      </x:c>
      <x:c r="E7" s="100" t="str">
        <x:v>text</x:v>
      </x:c>
      <x:c r="F7" s="100" t="str"/>
      <x:c r="G7" s="100" t="str">
        <x:v>Trace规范版本。</x:v>
      </x:c>
      <x:c r="H7" s="100" t="str"/>
      <x:c r="I7" s="100" t="str">
        <x:v>Internal</x:v>
      </x:c>
      <x:c r="J7" s="100" t="str">
        <x:v>Experiment harness</x:v>
      </x:c>
      <x:c r="K7" s="100" t="str">
        <x:v>1.0</x:v>
      </x:c>
    </x:row>
    <x:row r="8">
      <x:c r="A8" s="100" t="str">
        <x:v>RunConfig</x:v>
      </x:c>
      <x:c r="B8" s="100" t="str">
        <x:v>prompt_layout_version</x:v>
      </x:c>
      <x:c r="C8" s="100" t="str">
        <x:v>Reproducibility</x:v>
      </x:c>
      <x:c r="D8" s="100" t="str">
        <x:v>Required</x:v>
      </x:c>
      <x:c r="E8" s="100" t="str">
        <x:v>text</x:v>
      </x:c>
      <x:c r="F8" s="100" t="str"/>
      <x:c r="G8" s="100" t="str">
        <x:v>Prompt组件排序与规范化规则版本。</x:v>
      </x:c>
      <x:c r="H8" s="100" t="str"/>
      <x:c r="I8" s="100" t="str">
        <x:v>Internal</x:v>
      </x:c>
      <x:c r="J8" s="100" t="str">
        <x:v>Experiment harness</x:v>
      </x:c>
      <x:c r="K8" s="100" t="str">
        <x:v>layout_v1</x:v>
      </x:c>
    </x:row>
    <x:row r="9">
      <x:c r="A9" s="100" t="str">
        <x:v>RunConfig</x:v>
      </x:c>
      <x:c r="B9" s="100" t="str">
        <x:v>code_commit</x:v>
      </x:c>
      <x:c r="C9" s="100" t="str">
        <x:v>Reproducibility</x:v>
      </x:c>
      <x:c r="D9" s="100" t="str">
        <x:v>Required</x:v>
      </x:c>
      <x:c r="E9" s="100" t="str">
        <x:v>text</x:v>
      </x:c>
      <x:c r="F9" s="100" t="str"/>
      <x:c r="G9" s="100" t="str">
        <x:v>采集器/系统实现的Git提交。</x:v>
      </x:c>
      <x:c r="H9" s="100" t="str"/>
      <x:c r="I9" s="100" t="str">
        <x:v>Confidential</x:v>
      </x:c>
      <x:c r="J9" s="100" t="str">
        <x:v>Experiment harness</x:v>
      </x:c>
      <x:c r="K9" s="100" t="str">
        <x:v>example-not-a-real-commit</x:v>
      </x:c>
    </x:row>
    <x:row r="10">
      <x:c r="A10" s="100" t="str">
        <x:v>RunConfig</x:v>
      </x:c>
      <x:c r="B10" s="100" t="str">
        <x:v>created_utc</x:v>
      </x:c>
      <x:c r="C10" s="100" t="str">
        <x:v>Reproducibility</x:v>
      </x:c>
      <x:c r="D10" s="100" t="str">
        <x:v>Recommended</x:v>
      </x:c>
      <x:c r="E10" s="100" t="str">
        <x:v>datetime</x:v>
      </x:c>
      <x:c r="F10" s="100" t="str">
        <x:v>UTC</x:v>
      </x:c>
      <x:c r="G10" s="100" t="str">
        <x:v>实验配置创建时间（UTC）。</x:v>
      </x:c>
      <x:c r="H10" s="100" t="str"/>
      <x:c r="I10" s="100" t="str">
        <x:v>Internal</x:v>
      </x:c>
      <x:c r="J10" s="100" t="str">
        <x:v>Experiment harness</x:v>
      </x:c>
      <x:c r="K10" s="100" t="str">
        <x:v>2026-08-27 09:00:00 UTC</x:v>
      </x:c>
    </x:row>
    <x:row r="11">
      <x:c r="A11" s="100" t="str">
        <x:v>RunConfig</x:v>
      </x:c>
      <x:c r="B11" s="100" t="str">
        <x:v>random_seed</x:v>
      </x:c>
      <x:c r="C11" s="100" t="str">
        <x:v>Reproducibility</x:v>
      </x:c>
      <x:c r="D11" s="100" t="str">
        <x:v>Recommended</x:v>
      </x:c>
      <x:c r="E11" s="100" t="str">
        <x:v>integer</x:v>
      </x:c>
      <x:c r="F11" s="100" t="str"/>
      <x:c r="G11" s="100" t="str">
        <x:v>实验随机种子。</x:v>
      </x:c>
      <x:c r="H11" s="100" t="str"/>
      <x:c r="I11" s="100" t="str">
        <x:v>Internal</x:v>
      </x:c>
      <x:c r="J11" s="100" t="str">
        <x:v>Experiment harness</x:v>
      </x:c>
      <x:c r="K11" s="100" t="str">
        <x:v>42</x:v>
      </x:c>
    </x:row>
    <x:row r="12">
      <x:c r="A12" s="100" t="str">
        <x:v>RunConfig</x:v>
      </x:c>
      <x:c r="B12" s="100" t="str">
        <x:v>repetition_id</x:v>
      </x:c>
      <x:c r="C12" s="100" t="str">
        <x:v>Reproducibility</x:v>
      </x:c>
      <x:c r="D12" s="100" t="str">
        <x:v>Recommended</x:v>
      </x:c>
      <x:c r="E12" s="100" t="str">
        <x:v>integer</x:v>
      </x:c>
      <x:c r="F12" s="100" t="str"/>
      <x:c r="G12" s="100" t="str">
        <x:v>同配置重复实验编号。</x:v>
      </x:c>
      <x:c r="H12" s="100" t="str"/>
      <x:c r="I12" s="100" t="str">
        <x:v>Internal</x:v>
      </x:c>
      <x:c r="J12" s="100" t="str">
        <x:v>Experiment harness</x:v>
      </x:c>
      <x:c r="K12" s="100" t="str">
        <x:v>1</x:v>
      </x:c>
    </x:row>
    <x:row r="13">
      <x:c r="A13" s="100" t="str">
        <x:v>RunConfig</x:v>
      </x:c>
      <x:c r="B13" s="100" t="str">
        <x:v>warmup_request_count</x:v>
      </x:c>
      <x:c r="C13" s="100" t="str">
        <x:v>Reproducibility</x:v>
      </x:c>
      <x:c r="D13" s="100" t="str">
        <x:v>Recommended</x:v>
      </x:c>
      <x:c r="E13" s="100" t="str">
        <x:v>integer</x:v>
      </x:c>
      <x:c r="F13" s="100" t="str"/>
      <x:c r="G13" s="100" t="str">
        <x:v>正式测量前的预热请求数。</x:v>
      </x:c>
      <x:c r="H13" s="100" t="str"/>
      <x:c r="I13" s="100" t="str">
        <x:v>Internal</x:v>
      </x:c>
      <x:c r="J13" s="100" t="str">
        <x:v>Experiment harness</x:v>
      </x:c>
      <x:c r="K13" s="100" t="str">
        <x:v>0</x:v>
      </x:c>
    </x:row>
    <x:row r="14">
      <x:c r="A14" s="100" t="str">
        <x:v>RunConfig</x:v>
      </x:c>
      <x:c r="B14" s="100" t="str">
        <x:v>measurement_window_start_utc</x:v>
      </x:c>
      <x:c r="C14" s="100" t="str">
        <x:v>Reproducibility</x:v>
      </x:c>
      <x:c r="D14" s="100" t="str">
        <x:v>Recommended</x:v>
      </x:c>
      <x:c r="E14" s="100" t="str">
        <x:v>datetime</x:v>
      </x:c>
      <x:c r="F14" s="100" t="str">
        <x:v>UTC</x:v>
      </x:c>
      <x:c r="G14" s="100" t="str">
        <x:v>正式统计窗口开始时间。</x:v>
      </x:c>
      <x:c r="H14" s="100" t="str"/>
      <x:c r="I14" s="100" t="str">
        <x:v>Internal</x:v>
      </x:c>
      <x:c r="J14" s="100" t="str">
        <x:v>Experiment harness</x:v>
      </x:c>
      <x:c r="K14" s="100" t="str">
        <x:v>2026-08-27 09:05:00 UTC</x:v>
      </x:c>
    </x:row>
    <x:row r="15">
      <x:c r="A15" s="100" t="str">
        <x:v>RunConfig</x:v>
      </x:c>
      <x:c r="B15" s="100" t="str">
        <x:v>measurement_window_end_utc</x:v>
      </x:c>
      <x:c r="C15" s="100" t="str">
        <x:v>Reproducibility</x:v>
      </x:c>
      <x:c r="D15" s="100" t="str">
        <x:v>Recommended</x:v>
      </x:c>
      <x:c r="E15" s="100" t="str">
        <x:v>datetime</x:v>
      </x:c>
      <x:c r="F15" s="100" t="str">
        <x:v>UTC</x:v>
      </x:c>
      <x:c r="G15" s="100" t="str">
        <x:v>正式统计窗口结束时间。</x:v>
      </x:c>
      <x:c r="H15" s="100" t="str"/>
      <x:c r="I15" s="100" t="str">
        <x:v>Internal</x:v>
      </x:c>
      <x:c r="J15" s="100" t="str">
        <x:v>Experiment harness</x:v>
      </x:c>
      <x:c r="K15" s="100" t="str">
        <x:v>2026-08-27 10:05:00 UTC</x:v>
      </x:c>
    </x:row>
    <x:row r="16">
      <x:c r="A16" s="100" t="str">
        <x:v>RunConfig</x:v>
      </x:c>
      <x:c r="B16" s="100" t="str">
        <x:v>model_id</x:v>
      </x:c>
      <x:c r="C16" s="100" t="str">
        <x:v>Model compatibility</x:v>
      </x:c>
      <x:c r="D16" s="100" t="str">
        <x:v>Required</x:v>
      </x:c>
      <x:c r="E16" s="100" t="str">
        <x:v>text</x:v>
      </x:c>
      <x:c r="F16" s="100" t="str"/>
      <x:c r="G16" s="100" t="str">
        <x:v>目标模型标识。</x:v>
      </x:c>
      <x:c r="H16" s="100" t="str"/>
      <x:c r="I16" s="100" t="str">
        <x:v>Internal</x:v>
      </x:c>
      <x:c r="J16" s="100" t="str">
        <x:v>Experiment harness</x:v>
      </x:c>
      <x:c r="K16" s="100" t="str">
        <x:v>example-gqa-model</x:v>
      </x:c>
    </x:row>
    <x:row r="17">
      <x:c r="A17" s="100" t="str">
        <x:v>RunConfig</x:v>
      </x:c>
      <x:c r="B17" s="100" t="str">
        <x:v>model_revision</x:v>
      </x:c>
      <x:c r="C17" s="100" t="str">
        <x:v>Model compatibility</x:v>
      </x:c>
      <x:c r="D17" s="100" t="str">
        <x:v>Required</x:v>
      </x:c>
      <x:c r="E17" s="100" t="str">
        <x:v>text</x:v>
      </x:c>
      <x:c r="F17" s="100" t="str"/>
      <x:c r="G17" s="100" t="str">
        <x:v>模型权重的精确revision或内容哈希。</x:v>
      </x:c>
      <x:c r="H17" s="100" t="str"/>
      <x:c r="I17" s="100" t="str">
        <x:v>Internal</x:v>
      </x:c>
      <x:c r="J17" s="100" t="str">
        <x:v>Experiment harness</x:v>
      </x:c>
      <x:c r="K17" s="100" t="str">
        <x:v>example-rev</x:v>
      </x:c>
    </x:row>
    <x:row r="18">
      <x:c r="A18" s="100" t="str">
        <x:v>RunConfig</x:v>
      </x:c>
      <x:c r="B18" s="100" t="str">
        <x:v>tokenizer_id</x:v>
      </x:c>
      <x:c r="C18" s="100" t="str">
        <x:v>Model compatibility</x:v>
      </x:c>
      <x:c r="D18" s="100" t="str">
        <x:v>Required</x:v>
      </x:c>
      <x:c r="E18" s="100" t="str">
        <x:v>text</x:v>
      </x:c>
      <x:c r="F18" s="100" t="str"/>
      <x:c r="G18" s="100" t="str">
        <x:v>Tokenizer名称/标识。</x:v>
      </x:c>
      <x:c r="H18" s="100" t="str"/>
      <x:c r="I18" s="100" t="str">
        <x:v>Internal</x:v>
      </x:c>
      <x:c r="J18" s="100" t="str">
        <x:v>Experiment harness</x:v>
      </x:c>
      <x:c r="K18" s="100" t="str">
        <x:v>example-tokenizer</x:v>
      </x:c>
    </x:row>
    <x:row r="19">
      <x:c r="A19" s="100" t="str">
        <x:v>RunConfig</x:v>
      </x:c>
      <x:c r="B19" s="100" t="str">
        <x:v>tokenizer_revision</x:v>
      </x:c>
      <x:c r="C19" s="100" t="str">
        <x:v>Model compatibility</x:v>
      </x:c>
      <x:c r="D19" s="100" t="str">
        <x:v>Required</x:v>
      </x:c>
      <x:c r="E19" s="100" t="str">
        <x:v>text</x:v>
      </x:c>
      <x:c r="F19" s="100" t="str"/>
      <x:c r="G19" s="100" t="str">
        <x:v>Tokenizer精确revision。</x:v>
      </x:c>
      <x:c r="H19" s="100" t="str"/>
      <x:c r="I19" s="100" t="str">
        <x:v>Internal</x:v>
      </x:c>
      <x:c r="J19" s="100" t="str">
        <x:v>Experiment harness</x:v>
      </x:c>
      <x:c r="K19" s="100" t="str">
        <x:v>example-rev</x:v>
      </x:c>
    </x:row>
    <x:row r="20">
      <x:c r="A20" s="100" t="str">
        <x:v>RunConfig</x:v>
      </x:c>
      <x:c r="B20" s="100" t="str">
        <x:v>adapter_id</x:v>
      </x:c>
      <x:c r="C20" s="100" t="str">
        <x:v>Model compatibility</x:v>
      </x:c>
      <x:c r="D20" s="100" t="str">
        <x:v>Conditional</x:v>
      </x:c>
      <x:c r="E20" s="100" t="str">
        <x:v>text</x:v>
      </x:c>
      <x:c r="F20" s="100" t="str"/>
      <x:c r="G20" s="100" t="str">
        <x:v>Adapter/LoRA标识；无则填none。</x:v>
      </x:c>
      <x:c r="H20" s="100" t="str"/>
      <x:c r="I20" s="100" t="str">
        <x:v>Internal</x:v>
      </x:c>
      <x:c r="J20" s="100" t="str">
        <x:v>Experiment harness</x:v>
      </x:c>
      <x:c r="K20" s="100" t="str">
        <x:v>none</x:v>
      </x:c>
    </x:row>
    <x:row r="21">
      <x:c r="A21" s="100" t="str">
        <x:v>RunConfig</x:v>
      </x:c>
      <x:c r="B21" s="100" t="str">
        <x:v>attention_type</x:v>
      </x:c>
      <x:c r="C21" s="100" t="str">
        <x:v>Model compatibility</x:v>
      </x:c>
      <x:c r="D21" s="100" t="str">
        <x:v>Required</x:v>
      </x:c>
      <x:c r="E21" s="100" t="str">
        <x:v>text</x:v>
      </x:c>
      <x:c r="F21" s="100" t="str"/>
      <x:c r="G21" s="100" t="str">
        <x:v>GQA、MLA、DSA、HYBRID或其他已登记类型。</x:v>
      </x:c>
      <x:c r="H21" s="100" t="str">
        <x:v>GQA | MLA | DSA | HYBRID | OTHER</x:v>
      </x:c>
      <x:c r="I21" s="100" t="str">
        <x:v>Internal</x:v>
      </x:c>
      <x:c r="J21" s="100" t="str">
        <x:v>Experiment harness</x:v>
      </x:c>
      <x:c r="K21" s="100" t="str">
        <x:v>GQA</x:v>
      </x:c>
    </x:row>
    <x:row r="22">
      <x:c r="A22" s="100" t="str">
        <x:v>RunConfig</x:v>
      </x:c>
      <x:c r="B22" s="100" t="str">
        <x:v>position_encoding</x:v>
      </x:c>
      <x:c r="C22" s="100" t="str">
        <x:v>Model compatibility</x:v>
      </x:c>
      <x:c r="D22" s="100" t="str">
        <x:v>Recommended</x:v>
      </x:c>
      <x:c r="E22" s="100" t="str">
        <x:v>text</x:v>
      </x:c>
      <x:c r="F22" s="100" t="str"/>
      <x:c r="G22" s="100" t="str">
        <x:v>RoPE或其他位置编码配置摘要。</x:v>
      </x:c>
      <x:c r="H22" s="100" t="str"/>
      <x:c r="I22" s="100" t="str">
        <x:v>Internal</x:v>
      </x:c>
      <x:c r="J22" s="100" t="str">
        <x:v>Experiment harness</x:v>
      </x:c>
      <x:c r="K22" s="100" t="str">
        <x:v>RoPE/example</x:v>
      </x:c>
    </x:row>
    <x:row r="23">
      <x:c r="A23" s="100" t="str">
        <x:v>RunConfig</x:v>
      </x:c>
      <x:c r="B23" s="100" t="str">
        <x:v>rope_config_hash</x:v>
      </x:c>
      <x:c r="C23" s="100" t="str">
        <x:v>Model compatibility</x:v>
      </x:c>
      <x:c r="D23" s="100" t="str">
        <x:v>Recommended</x:v>
      </x:c>
      <x:c r="E23" s="100" t="str">
        <x:v>text</x:v>
      </x:c>
      <x:c r="F23" s="100" t="str"/>
      <x:c r="G23" s="100" t="str">
        <x:v>规范化RoPE/位置配置哈希。</x:v>
      </x:c>
      <x:c r="H23" s="100" t="str"/>
      <x:c r="I23" s="100" t="str">
        <x:v>Confidential</x:v>
      </x:c>
      <x:c r="J23" s="100" t="str">
        <x:v>Experiment harness</x:v>
      </x:c>
      <x:c r="K23" s="100" t="str">
        <x:v>sha256:EXAMPLE_ROPE</x:v>
      </x:c>
    </x:row>
    <x:row r="24">
      <x:c r="A24" s="100" t="str">
        <x:v>RunConfig</x:v>
      </x:c>
      <x:c r="B24" s="100" t="str">
        <x:v>kv_dtype</x:v>
      </x:c>
      <x:c r="C24" s="100" t="str">
        <x:v>Model compatibility</x:v>
      </x:c>
      <x:c r="D24" s="100" t="str">
        <x:v>Required</x:v>
      </x:c>
      <x:c r="E24" s="100" t="str">
        <x:v>text</x:v>
      </x:c>
      <x:c r="F24" s="100" t="str"/>
      <x:c r="G24" s="100" t="str">
        <x:v>KVCache数值格式。</x:v>
      </x:c>
      <x:c r="H24" s="100" t="str">
        <x:v>FP16 | BF16 | FP8 | FP4 | INT8 | INT4 | OTHER</x:v>
      </x:c>
      <x:c r="I24" s="100" t="str">
        <x:v>Internal</x:v>
      </x:c>
      <x:c r="J24" s="100" t="str">
        <x:v>Experiment harness</x:v>
      </x:c>
      <x:c r="K24" s="100" t="str">
        <x:v>BF16</x:v>
      </x:c>
    </x:row>
    <x:row r="25">
      <x:c r="A25" s="100" t="str">
        <x:v>RunConfig</x:v>
      </x:c>
      <x:c r="B25" s="100" t="str">
        <x:v>kv_layout_version</x:v>
      </x:c>
      <x:c r="C25" s="100" t="str">
        <x:v>Model compatibility</x:v>
      </x:c>
      <x:c r="D25" s="100" t="str">
        <x:v>Required</x:v>
      </x:c>
      <x:c r="E25" s="100" t="str">
        <x:v>text</x:v>
      </x:c>
      <x:c r="F25" s="100" t="str"/>
      <x:c r="G25" s="100" t="str">
        <x:v>KV张量布局/序列化格式版本。</x:v>
      </x:c>
      <x:c r="H25" s="100" t="str"/>
      <x:c r="I25" s="100" t="str">
        <x:v>Internal</x:v>
      </x:c>
      <x:c r="J25" s="100" t="str">
        <x:v>Experiment harness</x:v>
      </x:c>
      <x:c r="K25" s="100" t="str">
        <x:v>kv_layout_v1</x:v>
      </x:c>
    </x:row>
    <x:row r="26">
      <x:c r="A26" s="100" t="str">
        <x:v>RunConfig</x:v>
      </x:c>
      <x:c r="B26" s="100" t="str">
        <x:v>engine_name</x:v>
      </x:c>
      <x:c r="C26" s="100" t="str">
        <x:v>Software</x:v>
      </x:c>
      <x:c r="D26" s="100" t="str">
        <x:v>Required</x:v>
      </x:c>
      <x:c r="E26" s="100" t="str">
        <x:v>text</x:v>
      </x:c>
      <x:c r="F26" s="100" t="str"/>
      <x:c r="G26" s="100" t="str">
        <x:v>推理引擎名称。</x:v>
      </x:c>
      <x:c r="H26" s="100" t="str"/>
      <x:c r="I26" s="100" t="str">
        <x:v>Internal</x:v>
      </x:c>
      <x:c r="J26" s="100" t="str">
        <x:v>Experiment harness</x:v>
      </x:c>
      <x:c r="K26" s="100" t="str">
        <x:v>example-engine</x:v>
      </x:c>
    </x:row>
    <x:row r="27">
      <x:c r="A27" s="100" t="str">
        <x:v>RunConfig</x:v>
      </x:c>
      <x:c r="B27" s="100" t="str">
        <x:v>engine_version</x:v>
      </x:c>
      <x:c r="C27" s="100" t="str">
        <x:v>Software</x:v>
      </x:c>
      <x:c r="D27" s="100" t="str">
        <x:v>Required</x:v>
      </x:c>
      <x:c r="E27" s="100" t="str">
        <x:v>text</x:v>
      </x:c>
      <x:c r="F27" s="100" t="str"/>
      <x:c r="G27" s="100" t="str">
        <x:v>推理引擎精确版本。</x:v>
      </x:c>
      <x:c r="H27" s="100" t="str"/>
      <x:c r="I27" s="100" t="str">
        <x:v>Internal</x:v>
      </x:c>
      <x:c r="J27" s="100" t="str">
        <x:v>Experiment harness</x:v>
      </x:c>
      <x:c r="K27" s="100" t="str">
        <x:v>example-version</x:v>
      </x:c>
    </x:row>
    <x:row r="28">
      <x:c r="A28" s="100" t="str">
        <x:v>RunConfig</x:v>
      </x:c>
      <x:c r="B28" s="100" t="str">
        <x:v>kernel_version</x:v>
      </x:c>
      <x:c r="C28" s="100" t="str">
        <x:v>Software</x:v>
      </x:c>
      <x:c r="D28" s="100" t="str">
        <x:v>Recommended</x:v>
      </x:c>
      <x:c r="E28" s="100" t="str">
        <x:v>text</x:v>
      </x:c>
      <x:c r="F28" s="100" t="str"/>
      <x:c r="G28" s="100" t="str">
        <x:v>注意力/缓存相关内核版本。</x:v>
      </x:c>
      <x:c r="H28" s="100" t="str"/>
      <x:c r="I28" s="100" t="str">
        <x:v>Internal</x:v>
      </x:c>
      <x:c r="J28" s="100" t="str">
        <x:v>Experiment harness</x:v>
      </x:c>
      <x:c r="K28" s="100" t="str">
        <x:v>example-kernel</x:v>
      </x:c>
    </x:row>
    <x:row r="29">
      <x:c r="A29" s="100" t="str">
        <x:v>RunConfig</x:v>
      </x:c>
      <x:c r="B29" s="100" t="str">
        <x:v>cuda_version</x:v>
      </x:c>
      <x:c r="C29" s="100" t="str">
        <x:v>Software</x:v>
      </x:c>
      <x:c r="D29" s="100" t="str">
        <x:v>Recommended</x:v>
      </x:c>
      <x:c r="E29" s="100" t="str">
        <x:v>text</x:v>
      </x:c>
      <x:c r="F29" s="100" t="str"/>
      <x:c r="G29" s="100" t="str">
        <x:v>CUDA运行时版本。</x:v>
      </x:c>
      <x:c r="H29" s="100" t="str"/>
      <x:c r="I29" s="100" t="str">
        <x:v>Internal</x:v>
      </x:c>
      <x:c r="J29" s="100" t="str">
        <x:v>Experiment harness</x:v>
      </x:c>
      <x:c r="K29" s="100" t="str">
        <x:v>example-cuda</x:v>
      </x:c>
    </x:row>
    <x:row r="30">
      <x:c r="A30" s="100" t="str">
        <x:v>RunConfig</x:v>
      </x:c>
      <x:c r="B30" s="100" t="str">
        <x:v>driver_version</x:v>
      </x:c>
      <x:c r="C30" s="100" t="str">
        <x:v>Software</x:v>
      </x:c>
      <x:c r="D30" s="100" t="str">
        <x:v>Recommended</x:v>
      </x:c>
      <x:c r="E30" s="100" t="str">
        <x:v>text</x:v>
      </x:c>
      <x:c r="F30" s="100" t="str"/>
      <x:c r="G30" s="100" t="str">
        <x:v>GPU驱动版本。</x:v>
      </x:c>
      <x:c r="H30" s="100" t="str"/>
      <x:c r="I30" s="100" t="str">
        <x:v>Internal</x:v>
      </x:c>
      <x:c r="J30" s="100" t="str">
        <x:v>Experiment harness</x:v>
      </x:c>
      <x:c r="K30" s="100" t="str">
        <x:v>example-driver</x:v>
      </x:c>
    </x:row>
    <x:row r="31">
      <x:c r="A31" s="100" t="str">
        <x:v>RunConfig</x:v>
      </x:c>
      <x:c r="B31" s="100" t="str">
        <x:v>gpu_model</x:v>
      </x:c>
      <x:c r="C31" s="100" t="str">
        <x:v>Hardware</x:v>
      </x:c>
      <x:c r="D31" s="100" t="str">
        <x:v>Required</x:v>
      </x:c>
      <x:c r="E31" s="100" t="str">
        <x:v>text</x:v>
      </x:c>
      <x:c r="F31" s="100" t="str"/>
      <x:c r="G31" s="100" t="str">
        <x:v>GPU型号。</x:v>
      </x:c>
      <x:c r="H31" s="100" t="str"/>
      <x:c r="I31" s="100" t="str">
        <x:v>Internal</x:v>
      </x:c>
      <x:c r="J31" s="100" t="str">
        <x:v>Experiment harness</x:v>
      </x:c>
      <x:c r="K31" s="100" t="str">
        <x:v>example-gpu</x:v>
      </x:c>
    </x:row>
    <x:row r="32">
      <x:c r="A32" s="100" t="str">
        <x:v>RunConfig</x:v>
      </x:c>
      <x:c r="B32" s="100" t="str">
        <x:v>gpu_count</x:v>
      </x:c>
      <x:c r="C32" s="100" t="str">
        <x:v>Hardware</x:v>
      </x:c>
      <x:c r="D32" s="100" t="str">
        <x:v>Required</x:v>
      </x:c>
      <x:c r="E32" s="100" t="str">
        <x:v>integer</x:v>
      </x:c>
      <x:c r="F32" s="100" t="str"/>
      <x:c r="G32" s="100" t="str">
        <x:v>参与运行的GPU数量。</x:v>
      </x:c>
      <x:c r="H32" s="100" t="str"/>
      <x:c r="I32" s="100" t="str">
        <x:v>Internal</x:v>
      </x:c>
      <x:c r="J32" s="100" t="str">
        <x:v>Experiment harness</x:v>
      </x:c>
      <x:c r="K32" s="100" t="str">
        <x:v>1</x:v>
      </x:c>
    </x:row>
    <x:row r="33">
      <x:c r="A33" s="100" t="str">
        <x:v>RunConfig</x:v>
      </x:c>
      <x:c r="B33" s="100" t="str">
        <x:v>tp_size</x:v>
      </x:c>
      <x:c r="C33" s="100" t="str">
        <x:v>Hardware</x:v>
      </x:c>
      <x:c r="D33" s="100" t="str">
        <x:v>Recommended</x:v>
      </x:c>
      <x:c r="E33" s="100" t="str">
        <x:v>integer</x:v>
      </x:c>
      <x:c r="F33" s="100" t="str"/>
      <x:c r="G33" s="100" t="str">
        <x:v>Tensor Parallel规模。</x:v>
      </x:c>
      <x:c r="H33" s="100" t="str"/>
      <x:c r="I33" s="100" t="str">
        <x:v>Internal</x:v>
      </x:c>
      <x:c r="J33" s="100" t="str">
        <x:v>Experiment harness</x:v>
      </x:c>
      <x:c r="K33" s="100" t="str">
        <x:v>1</x:v>
      </x:c>
    </x:row>
    <x:row r="34">
      <x:c r="A34" s="100" t="str">
        <x:v>RunConfig</x:v>
      </x:c>
      <x:c r="B34" s="100" t="str">
        <x:v>pp_size</x:v>
      </x:c>
      <x:c r="C34" s="100" t="str">
        <x:v>Hardware</x:v>
      </x:c>
      <x:c r="D34" s="100" t="str">
        <x:v>Recommended</x:v>
      </x:c>
      <x:c r="E34" s="100" t="str">
        <x:v>integer</x:v>
      </x:c>
      <x:c r="F34" s="100" t="str"/>
      <x:c r="G34" s="100" t="str">
        <x:v>Pipeline Parallel规模。</x:v>
      </x:c>
      <x:c r="H34" s="100" t="str"/>
      <x:c r="I34" s="100" t="str">
        <x:v>Internal</x:v>
      </x:c>
      <x:c r="J34" s="100" t="str">
        <x:v>Experiment harness</x:v>
      </x:c>
      <x:c r="K34" s="100" t="str">
        <x:v>1</x:v>
      </x:c>
    </x:row>
    <x:row r="35">
      <x:c r="A35" s="100" t="str">
        <x:v>RunConfig</x:v>
      </x:c>
      <x:c r="B35" s="100" t="str">
        <x:v>dp_size</x:v>
      </x:c>
      <x:c r="C35" s="100" t="str">
        <x:v>Hardware</x:v>
      </x:c>
      <x:c r="D35" s="100" t="str">
        <x:v>Recommended</x:v>
      </x:c>
      <x:c r="E35" s="100" t="str">
        <x:v>integer</x:v>
      </x:c>
      <x:c r="F35" s="100" t="str"/>
      <x:c r="G35" s="100" t="str">
        <x:v>Data Parallel规模。</x:v>
      </x:c>
      <x:c r="H35" s="100" t="str"/>
      <x:c r="I35" s="100" t="str">
        <x:v>Internal</x:v>
      </x:c>
      <x:c r="J35" s="100" t="str">
        <x:v>Experiment harness</x:v>
      </x:c>
      <x:c r="K35" s="100" t="str">
        <x:v>1</x:v>
      </x:c>
    </x:row>
    <x:row r="36">
      <x:c r="A36" s="100" t="str">
        <x:v>RunConfig</x:v>
      </x:c>
      <x:c r="B36" s="100" t="str">
        <x:v>cpu_model</x:v>
      </x:c>
      <x:c r="C36" s="100" t="str">
        <x:v>Hardware</x:v>
      </x:c>
      <x:c r="D36" s="100" t="str">
        <x:v>Recommended</x:v>
      </x:c>
      <x:c r="E36" s="100" t="str">
        <x:v>text</x:v>
      </x:c>
      <x:c r="F36" s="100" t="str"/>
      <x:c r="G36" s="100" t="str">
        <x:v>CPU型号。</x:v>
      </x:c>
      <x:c r="H36" s="100" t="str"/>
      <x:c r="I36" s="100" t="str">
        <x:v>Internal</x:v>
      </x:c>
      <x:c r="J36" s="100" t="str">
        <x:v>Experiment harness</x:v>
      </x:c>
      <x:c r="K36" s="100" t="str">
        <x:v>example-cpu</x:v>
      </x:c>
    </x:row>
    <x:row r="37">
      <x:c r="A37" s="100" t="str">
        <x:v>RunConfig</x:v>
      </x:c>
      <x:c r="B37" s="100" t="str">
        <x:v>cpu_count</x:v>
      </x:c>
      <x:c r="C37" s="100" t="str">
        <x:v>Hardware</x:v>
      </x:c>
      <x:c r="D37" s="100" t="str">
        <x:v>Recommended</x:v>
      </x:c>
      <x:c r="E37" s="100" t="str">
        <x:v>integer</x:v>
      </x:c>
      <x:c r="F37" s="100" t="str"/>
      <x:c r="G37" s="100" t="str">
        <x:v>可用CPU逻辑核或冻结口径下的核数。</x:v>
      </x:c>
      <x:c r="H37" s="100" t="str"/>
      <x:c r="I37" s="100" t="str">
        <x:v>Internal</x:v>
      </x:c>
      <x:c r="J37" s="100" t="str">
        <x:v>Experiment harness</x:v>
      </x:c>
      <x:c r="K37" s="100" t="str">
        <x:v>32</x:v>
      </x:c>
    </x:row>
    <x:row r="38">
      <x:c r="A38" s="100" t="str">
        <x:v>RunConfig</x:v>
      </x:c>
      <x:c r="B38" s="100" t="str">
        <x:v>dram_bytes</x:v>
      </x:c>
      <x:c r="C38" s="100" t="str">
        <x:v>Hardware</x:v>
      </x:c>
      <x:c r="D38" s="100" t="str">
        <x:v>Recommended</x:v>
      </x:c>
      <x:c r="E38" s="100" t="str">
        <x:v>integer</x:v>
      </x:c>
      <x:c r="F38" s="100" t="str">
        <x:v>bytes</x:v>
      </x:c>
      <x:c r="G38" s="100" t="str">
        <x:v>节点可用DRAM字节数。</x:v>
      </x:c>
      <x:c r="H38" s="100" t="str"/>
      <x:c r="I38" s="100" t="str">
        <x:v>Internal</x:v>
      </x:c>
      <x:c r="J38" s="100" t="str">
        <x:v>Experiment harness</x:v>
      </x:c>
      <x:c r="K38" s="100" t="str">
        <x:v>274877906944</x:v>
      </x:c>
    </x:row>
    <x:row r="39">
      <x:c r="A39" s="100" t="str">
        <x:v>RunConfig</x:v>
      </x:c>
      <x:c r="B39" s="100" t="str">
        <x:v>nvme_model</x:v>
      </x:c>
      <x:c r="C39" s="100" t="str">
        <x:v>Hardware</x:v>
      </x:c>
      <x:c r="D39" s="100" t="str">
        <x:v>Recommended</x:v>
      </x:c>
      <x:c r="E39" s="100" t="str">
        <x:v>text</x:v>
      </x:c>
      <x:c r="F39" s="100" t="str"/>
      <x:c r="G39" s="100" t="str">
        <x:v>本地NVMe/SSD型号。</x:v>
      </x:c>
      <x:c r="H39" s="100" t="str"/>
      <x:c r="I39" s="100" t="str">
        <x:v>Internal</x:v>
      </x:c>
      <x:c r="J39" s="100" t="str">
        <x:v>Experiment harness</x:v>
      </x:c>
      <x:c r="K39" s="100" t="str">
        <x:v>example-nvme</x:v>
      </x:c>
    </x:row>
    <x:row r="40">
      <x:c r="A40" s="100" t="str">
        <x:v>RunConfig</x:v>
      </x:c>
      <x:c r="B40" s="100" t="str">
        <x:v>nvme_bytes</x:v>
      </x:c>
      <x:c r="C40" s="100" t="str">
        <x:v>Hardware</x:v>
      </x:c>
      <x:c r="D40" s="100" t="str">
        <x:v>Recommended</x:v>
      </x:c>
      <x:c r="E40" s="100" t="str">
        <x:v>integer</x:v>
      </x:c>
      <x:c r="F40" s="100" t="str">
        <x:v>bytes</x:v>
      </x:c>
      <x:c r="G40" s="100" t="str">
        <x:v>可用本地NVMe/SSD容量。</x:v>
      </x:c>
      <x:c r="H40" s="100" t="str"/>
      <x:c r="I40" s="100" t="str">
        <x:v>Internal</x:v>
      </x:c>
      <x:c r="J40" s="100" t="str">
        <x:v>Experiment harness</x:v>
      </x:c>
      <x:c r="K40" s="100" t="str">
        <x:v>2199023255552</x:v>
      </x:c>
    </x:row>
    <x:row r="41">
      <x:c r="A41" s="100" t="str">
        <x:v>RunConfig</x:v>
      </x:c>
      <x:c r="B41" s="100" t="str">
        <x:v>network_type</x:v>
      </x:c>
      <x:c r="C41" s="100" t="str">
        <x:v>Hardware</x:v>
      </x:c>
      <x:c r="D41" s="100" t="str">
        <x:v>Recommended</x:v>
      </x:c>
      <x:c r="E41" s="100" t="str">
        <x:v>text</x:v>
      </x:c>
      <x:c r="F41" s="100" t="str"/>
      <x:c r="G41" s="100" t="str">
        <x:v>网络类型与协议。</x:v>
      </x:c>
      <x:c r="H41" s="100" t="str"/>
      <x:c r="I41" s="100" t="str">
        <x:v>Internal</x:v>
      </x:c>
      <x:c r="J41" s="100" t="str">
        <x:v>Experiment harness</x:v>
      </x:c>
      <x:c r="K41" s="100" t="str">
        <x:v>PCIe/local</x:v>
      </x:c>
    </x:row>
    <x:row r="42">
      <x:c r="A42" s="100" t="str">
        <x:v>RunConfig</x:v>
      </x:c>
      <x:c r="B42" s="100" t="str">
        <x:v>network_bandwidth_gbps</x:v>
      </x:c>
      <x:c r="C42" s="100" t="str">
        <x:v>Hardware</x:v>
      </x:c>
      <x:c r="D42" s="100" t="str">
        <x:v>Recommended</x:v>
      </x:c>
      <x:c r="E42" s="100" t="str">
        <x:v>number</x:v>
      </x:c>
      <x:c r="F42" s="100" t="str">
        <x:v>Gbps</x:v>
      </x:c>
      <x:c r="G42" s="100" t="str">
        <x:v>冻结的有效或额定网络带宽。</x:v>
      </x:c>
      <x:c r="H42" s="100" t="str"/>
      <x:c r="I42" s="100" t="str">
        <x:v>Internal</x:v>
      </x:c>
      <x:c r="J42" s="100" t="str">
        <x:v>Experiment harness</x:v>
      </x:c>
      <x:c r="K42" s="100" t="str">
        <x:v>128</x:v>
      </x:c>
    </x:row>
    <x:row r="43">
      <x:c r="A43" s="100" t="str">
        <x:v>RunConfig</x:v>
      </x:c>
      <x:c r="B43" s="100" t="str">
        <x:v>cache_block_tokens</x:v>
      </x:c>
      <x:c r="C43" s="100" t="str">
        <x:v>Cache configuration</x:v>
      </x:c>
      <x:c r="D43" s="100" t="str">
        <x:v>Recommended</x:v>
      </x:c>
      <x:c r="E43" s="100" t="str">
        <x:v>integer</x:v>
      </x:c>
      <x:c r="F43" s="100" t="str">
        <x:v>token</x:v>
      </x:c>
      <x:c r="G43" s="100" t="str">
        <x:v>缓存块Token数。</x:v>
      </x:c>
      <x:c r="H43" s="100" t="str"/>
      <x:c r="I43" s="100" t="str">
        <x:v>Internal</x:v>
      </x:c>
      <x:c r="J43" s="100" t="str">
        <x:v>Experiment harness</x:v>
      </x:c>
      <x:c r="K43" s="100" t="str">
        <x:v>256</x:v>
      </x:c>
    </x:row>
    <x:row r="44">
      <x:c r="A44" s="100" t="str">
        <x:v>RunConfig</x:v>
      </x:c>
      <x:c r="B44" s="100" t="str">
        <x:v>hbm_capacity_bytes</x:v>
      </x:c>
      <x:c r="C44" s="100" t="str">
        <x:v>Cache configuration</x:v>
      </x:c>
      <x:c r="D44" s="100" t="str">
        <x:v>Recommended</x:v>
      </x:c>
      <x:c r="E44" s="100" t="str">
        <x:v>integer</x:v>
      </x:c>
      <x:c r="F44" s="100" t="str">
        <x:v>bytes</x:v>
      </x:c>
      <x:c r="G44" s="100" t="str">
        <x:v>分配给KVCache的HBM预算。</x:v>
      </x:c>
      <x:c r="H44" s="100" t="str"/>
      <x:c r="I44" s="100" t="str">
        <x:v>Internal</x:v>
      </x:c>
      <x:c r="J44" s="100" t="str">
        <x:v>Experiment harness</x:v>
      </x:c>
      <x:c r="K44" s="100" t="str">
        <x:v>17179869184</x:v>
      </x:c>
    </x:row>
    <x:row r="45">
      <x:c r="A45" s="100" t="str">
        <x:v>RunConfig</x:v>
      </x:c>
      <x:c r="B45" s="100" t="str">
        <x:v>dram_capacity_bytes</x:v>
      </x:c>
      <x:c r="C45" s="100" t="str">
        <x:v>Cache configuration</x:v>
      </x:c>
      <x:c r="D45" s="100" t="str">
        <x:v>Recommended</x:v>
      </x:c>
      <x:c r="E45" s="100" t="str">
        <x:v>integer</x:v>
      </x:c>
      <x:c r="F45" s="100" t="str">
        <x:v>bytes</x:v>
      </x:c>
      <x:c r="G45" s="100" t="str">
        <x:v>分配给KVCache的DRAM预算。</x:v>
      </x:c>
      <x:c r="H45" s="100" t="str"/>
      <x:c r="I45" s="100" t="str">
        <x:v>Internal</x:v>
      </x:c>
      <x:c r="J45" s="100" t="str">
        <x:v>Experiment harness</x:v>
      </x:c>
      <x:c r="K45" s="100" t="str">
        <x:v>137438953472</x:v>
      </x:c>
    </x:row>
    <x:row r="46">
      <x:c r="A46" s="100" t="str">
        <x:v>RunConfig</x:v>
      </x:c>
      <x:c r="B46" s="100" t="str">
        <x:v>ssd_capacity_bytes</x:v>
      </x:c>
      <x:c r="C46" s="100" t="str">
        <x:v>Cache configuration</x:v>
      </x:c>
      <x:c r="D46" s="100" t="str">
        <x:v>Recommended</x:v>
      </x:c>
      <x:c r="E46" s="100" t="str">
        <x:v>integer</x:v>
      </x:c>
      <x:c r="F46" s="100" t="str">
        <x:v>bytes</x:v>
      </x:c>
      <x:c r="G46" s="100" t="str">
        <x:v>分配给KVCache的SSD预算。</x:v>
      </x:c>
      <x:c r="H46" s="100" t="str"/>
      <x:c r="I46" s="100" t="str">
        <x:v>Internal</x:v>
      </x:c>
      <x:c r="J46" s="100" t="str">
        <x:v>Experiment harness</x:v>
      </x:c>
      <x:c r="K46" s="100" t="str">
        <x:v>1099511627776</x:v>
      </x:c>
    </x:row>
    <x:row r="47">
      <x:c r="A47" s="100" t="str">
        <x:v>RunConfig</x:v>
      </x:c>
      <x:c r="B47" s="100" t="str">
        <x:v>remote_capacity_bytes</x:v>
      </x:c>
      <x:c r="C47" s="100" t="str">
        <x:v>Cache configuration</x:v>
      </x:c>
      <x:c r="D47" s="100" t="str">
        <x:v>Recommended</x:v>
      </x:c>
      <x:c r="E47" s="100" t="str">
        <x:v>integer</x:v>
      </x:c>
      <x:c r="F47" s="100" t="str">
        <x:v>bytes</x:v>
      </x:c>
      <x:c r="G47" s="100" t="str">
        <x:v>分配给KVCache的远端存储预算。</x:v>
      </x:c>
      <x:c r="H47" s="100" t="str"/>
      <x:c r="I47" s="100" t="str">
        <x:v>Internal</x:v>
      </x:c>
      <x:c r="J47" s="100" t="str">
        <x:v>Experiment harness</x:v>
      </x:c>
      <x:c r="K47" s="100" t="str">
        <x:v>0</x:v>
      </x:c>
    </x:row>
    <x:row r="48">
      <x:c r="A48" s="100" t="str">
        <x:v>RunConfig</x:v>
      </x:c>
      <x:c r="B48" s="100" t="str">
        <x:v>admission_policy</x:v>
      </x:c>
      <x:c r="C48" s="100" t="str">
        <x:v>Cache configuration</x:v>
      </x:c>
      <x:c r="D48" s="100" t="str">
        <x:v>Recommended</x:v>
      </x:c>
      <x:c r="E48" s="100" t="str">
        <x:v>text</x:v>
      </x:c>
      <x:c r="F48" s="100" t="str"/>
      <x:c r="G48" s="100" t="str">
        <x:v>缓存准入策略及版本。</x:v>
      </x:c>
      <x:c r="H48" s="100" t="str"/>
      <x:c r="I48" s="100" t="str">
        <x:v>Internal</x:v>
      </x:c>
      <x:c r="J48" s="100" t="str">
        <x:v>Experiment harness</x:v>
      </x:c>
      <x:c r="K48" s="100" t="str">
        <x:v>benefit_v1</x:v>
      </x:c>
    </x:row>
    <x:row r="49">
      <x:c r="A49" s="100" t="str">
        <x:v>RunConfig</x:v>
      </x:c>
      <x:c r="B49" s="100" t="str">
        <x:v>eviction_policy</x:v>
      </x:c>
      <x:c r="C49" s="100" t="str">
        <x:v>Cache configuration</x:v>
      </x:c>
      <x:c r="D49" s="100" t="str">
        <x:v>Recommended</x:v>
      </x:c>
      <x:c r="E49" s="100" t="str">
        <x:v>text</x:v>
      </x:c>
      <x:c r="F49" s="100" t="str"/>
      <x:c r="G49" s="100" t="str">
        <x:v>缓存淘汰策略及版本。</x:v>
      </x:c>
      <x:c r="H49" s="100" t="str"/>
      <x:c r="I49" s="100" t="str">
        <x:v>Internal</x:v>
      </x:c>
      <x:c r="J49" s="100" t="str">
        <x:v>Experiment harness</x:v>
      </x:c>
      <x:c r="K49" s="100" t="str">
        <x:v>lru_baseline</x:v>
      </x:c>
    </x:row>
    <x:row r="50">
      <x:c r="A50" s="100" t="str">
        <x:v>RunConfig</x:v>
      </x:c>
      <x:c r="B50" s="100" t="str">
        <x:v>prefetch_policy</x:v>
      </x:c>
      <x:c r="C50" s="100" t="str">
        <x:v>Cache configuration</x:v>
      </x:c>
      <x:c r="D50" s="100" t="str">
        <x:v>Recommended</x:v>
      </x:c>
      <x:c r="E50" s="100" t="str">
        <x:v>text</x:v>
      </x:c>
      <x:c r="F50" s="100" t="str"/>
      <x:c r="G50" s="100" t="str">
        <x:v>缓存预取策略及版本。</x:v>
      </x:c>
      <x:c r="H50" s="100" t="str"/>
      <x:c r="I50" s="100" t="str">
        <x:v>Confidential</x:v>
      </x:c>
      <x:c r="J50" s="100" t="str">
        <x:v>Experiment harness</x:v>
      </x:c>
      <x:c r="K50" s="100" t="str">
        <x:v>none</x:v>
      </x:c>
    </x:row>
    <x:row r="51">
      <x:c r="A51" s="100" t="str">
        <x:v>RunConfig</x:v>
      </x:c>
      <x:c r="B51" s="100" t="str">
        <x:v>privacy_mode</x:v>
      </x:c>
      <x:c r="C51" s="100" t="str">
        <x:v>Privacy</x:v>
      </x:c>
      <x:c r="D51" s="100" t="str">
        <x:v>Required</x:v>
      </x:c>
      <x:c r="E51" s="100" t="str">
        <x:v>text</x:v>
      </x:c>
      <x:c r="F51" s="100" t="str"/>
      <x:c r="G51" s="100" t="str">
        <x:v>M0/M1/M2数据保存模式。</x:v>
      </x:c>
      <x:c r="H51" s="100" t="str">
        <x:v>M0_metadata | M1_controlled_token | M2_secure_replay</x:v>
      </x:c>
      <x:c r="I51" s="100" t="str">
        <x:v>Internal</x:v>
      </x:c>
      <x:c r="J51" s="100" t="str">
        <x:v>Experiment harness</x:v>
      </x:c>
      <x:c r="K51" s="100" t="str">
        <x:v>M1_controlled_token</x:v>
      </x:c>
    </x:row>
    <x:row r="52">
      <x:c r="A52" s="100" t="str">
        <x:v>RunConfig</x:v>
      </x:c>
      <x:c r="B52" s="100" t="str">
        <x:v>cost_rate_version</x:v>
      </x:c>
      <x:c r="C52" s="100" t="str">
        <x:v>Cost</x:v>
      </x:c>
      <x:c r="D52" s="100" t="str">
        <x:v>Recommended</x:v>
      </x:c>
      <x:c r="E52" s="100" t="str">
        <x:v>text</x:v>
      </x:c>
      <x:c r="F52" s="100" t="str"/>
      <x:c r="G52" s="100" t="str">
        <x:v>成本费率表版本。</x:v>
      </x:c>
      <x:c r="H52" s="100" t="str"/>
      <x:c r="I52" s="100" t="str">
        <x:v>Internal</x:v>
      </x:c>
      <x:c r="J52" s="100" t="str">
        <x:v>Experiment harness</x:v>
      </x:c>
      <x:c r="K52" s="100" t="str">
        <x:v>example_rate_v1</x:v>
      </x:c>
    </x:row>
    <x:row r="53">
      <x:c r="A53" s="100" t="str">
        <x:v>RunConfig</x:v>
      </x:c>
      <x:c r="B53" s="100" t="str">
        <x:v>notes</x:v>
      </x:c>
      <x:c r="C53" s="100" t="str">
        <x:v>Other</x:v>
      </x:c>
      <x:c r="D53" s="100" t="str">
        <x:v>Conditional</x:v>
      </x:c>
      <x:c r="E53" s="100" t="str">
        <x:v>text</x:v>
      </x:c>
      <x:c r="F53" s="100" t="str"/>
      <x:c r="G53" s="100" t="str">
        <x:v>补充说明；不得放入未经批准的原始敏感内容。</x:v>
      </x:c>
      <x:c r="H53" s="100" t="str"/>
      <x:c r="I53" s="100" t="str">
        <x:v>Internal</x:v>
      </x:c>
      <x:c r="J53" s="100" t="str">
        <x:v>Experiment harness</x:v>
      </x:c>
      <x:c r="K53" s="100" t="str">
        <x:v>示例配置；请复制为DATA并替换所有example值。</x:v>
      </x:c>
    </x:row>
    <x:row r="54">
      <x:c r="A54" s="100" t="str">
        <x:v>Requests</x:v>
      </x:c>
      <x:c r="B54" s="100" t="str">
        <x:v>record_kind</x:v>
      </x:c>
      <x:c r="C54" s="100" t="str">
        <x:v>Identity</x:v>
      </x:c>
      <x:c r="D54" s="100" t="str">
        <x:v>Required</x:v>
      </x:c>
      <x:c r="E54" s="100" t="str">
        <x:v>text</x:v>
      </x:c>
      <x:c r="F54" s="100" t="str"/>
      <x:c r="G54" s="100" t="str">
        <x:v>DATA进入正式统计；EXAMPLE仅用于说明字段与公式。</x:v>
      </x:c>
      <x:c r="H54" s="100" t="str">
        <x:v>DATA | EXAMPLE</x:v>
      </x:c>
      <x:c r="I54" s="100" t="str">
        <x:v>Internal</x:v>
      </x:c>
      <x:c r="J54" s="100" t="str">
        <x:v>Agent/context builder</x:v>
      </x:c>
      <x:c r="K54" s="100" t="str">
        <x:v>EXAMPLE</x:v>
      </x:c>
    </x:row>
    <x:row r="55">
      <x:c r="A55" s="100" t="str">
        <x:v>Requests</x:v>
      </x:c>
      <x:c r="B55" s="100" t="str">
        <x:v>schema_version</x:v>
      </x:c>
      <x:c r="C55" s="100" t="str">
        <x:v>Identity</x:v>
      </x:c>
      <x:c r="D55" s="100" t="str">
        <x:v>Required</x:v>
      </x:c>
      <x:c r="E55" s="100" t="str">
        <x:v>text</x:v>
      </x:c>
      <x:c r="F55" s="100" t="str"/>
      <x:c r="G55" s="100" t="str">
        <x:v>当前数据表记录结构版本。</x:v>
      </x:c>
      <x:c r="H55" s="100" t="str"/>
      <x:c r="I55" s="100" t="str">
        <x:v>Internal</x:v>
      </x:c>
      <x:c r="J55" s="100" t="str">
        <x:v>Agent/context builder</x:v>
      </x:c>
      <x:c r="K55" s="100" t="str">
        <x:v>1.0</x:v>
      </x:c>
    </x:row>
    <x:row r="56">
      <x:c r="A56" s="100" t="str">
        <x:v>Requests</x:v>
      </x:c>
      <x:c r="B56" s="100" t="str">
        <x:v>trace_id</x:v>
      </x:c>
      <x:c r="C56" s="100" t="str">
        <x:v>Identity</x:v>
      </x:c>
      <x:c r="D56" s="100" t="str">
        <x:v>Required</x:v>
      </x:c>
      <x:c r="E56" s="100" t="str">
        <x:v>text</x:v>
      </x:c>
      <x:c r="F56" s="100" t="str"/>
      <x:c r="G56" s="100" t="str">
        <x:v>一次完整Trace导出/采集批次的唯一标识。</x:v>
      </x:c>
      <x:c r="H56" s="100" t="str"/>
      <x:c r="I56" s="100" t="str">
        <x:v>Internal</x:v>
      </x:c>
      <x:c r="J56" s="100" t="str">
        <x:v>Agent/context builder</x:v>
      </x:c>
      <x:c r="K56" s="100" t="str">
        <x:v>ex_trace_001</x:v>
      </x:c>
    </x:row>
    <x:row r="57">
      <x:c r="A57" s="100" t="str">
        <x:v>Requests</x:v>
      </x:c>
      <x:c r="B57" s="100" t="str">
        <x:v>experiment_run_id</x:v>
      </x:c>
      <x:c r="C57" s="100" t="str">
        <x:v>Identity</x:v>
      </x:c>
      <x:c r="D57" s="100" t="str">
        <x:v>Required</x:v>
      </x:c>
      <x:c r="E57" s="100" t="str">
        <x:v>text</x:v>
      </x:c>
      <x:c r="F57" s="100" t="str"/>
      <x:c r="G57" s="100" t="str">
        <x:v>关联RunConfig的实验运行标识。</x:v>
      </x:c>
      <x:c r="H57" s="100" t="str"/>
      <x:c r="I57" s="100" t="str">
        <x:v>Internal</x:v>
      </x:c>
      <x:c r="J57" s="100" t="str">
        <x:v>Agent/context builder</x:v>
      </x:c>
      <x:c r="K57" s="100" t="str">
        <x:v>ex_run_001</x:v>
      </x:c>
    </x:row>
    <x:row r="58">
      <x:c r="A58" s="100" t="str">
        <x:v>Requests</x:v>
      </x:c>
      <x:c r="B58" s="100" t="str">
        <x:v>request_id</x:v>
      </x:c>
      <x:c r="C58" s="100" t="str">
        <x:v>Identity</x:v>
      </x:c>
      <x:c r="D58" s="100" t="str">
        <x:v>Required</x:v>
      </x:c>
      <x:c r="E58" s="100" t="str">
        <x:v>text</x:v>
      </x:c>
      <x:c r="F58" s="100" t="str"/>
      <x:c r="G58" s="100" t="str">
        <x:v>一次LLM推理调用的唯一标识。</x:v>
      </x:c>
      <x:c r="H58" s="100" t="str"/>
      <x:c r="I58" s="100" t="str">
        <x:v>Internal</x:v>
      </x:c>
      <x:c r="J58" s="100" t="str">
        <x:v>Agent/context builder</x:v>
      </x:c>
      <x:c r="K58" s="100" t="str">
        <x:v>ex_req_cold_001</x:v>
      </x:c>
    </x:row>
    <x:row r="59">
      <x:c r="A59" s="100" t="str">
        <x:v>Requests</x:v>
      </x:c>
      <x:c r="B59" s="100" t="str">
        <x:v>baseline_request_id</x:v>
      </x:c>
      <x:c r="C59" s="100" t="str">
        <x:v>Identity</x:v>
      </x:c>
      <x:c r="D59" s="100" t="str">
        <x:v>Conditional</x:v>
      </x:c>
      <x:c r="E59" s="100" t="str">
        <x:v>text</x:v>
      </x:c>
      <x:c r="F59" s="100" t="str"/>
      <x:c r="G59" s="100" t="str">
        <x:v>与当前请求配对的无缓存基线request_id。</x:v>
      </x:c>
      <x:c r="H59" s="100" t="str"/>
      <x:c r="I59" s="100" t="str">
        <x:v>Internal</x:v>
      </x:c>
      <x:c r="J59" s="100" t="str">
        <x:v>Agent/context builder</x:v>
      </x:c>
      <x:c r="K59" s="100" t="str"/>
    </x:row>
    <x:row r="60">
      <x:c r="A60" s="100" t="str">
        <x:v>Requests</x:v>
      </x:c>
      <x:c r="B60" s="100" t="str">
        <x:v>task_id</x:v>
      </x:c>
      <x:c r="C60" s="100" t="str">
        <x:v>Identity</x:v>
      </x:c>
      <x:c r="D60" s="100" t="str">
        <x:v>Required</x:v>
      </x:c>
      <x:c r="E60" s="100" t="str">
        <x:v>text</x:v>
      </x:c>
      <x:c r="F60" s="100" t="str"/>
      <x:c r="G60" s="100" t="str">
        <x:v>一个软件工程目标的唯一标识。</x:v>
      </x:c>
      <x:c r="H60" s="100" t="str"/>
      <x:c r="I60" s="100" t="str">
        <x:v>Internal</x:v>
      </x:c>
      <x:c r="J60" s="100" t="str">
        <x:v>Agent/context builder</x:v>
      </x:c>
      <x:c r="K60" s="100" t="str">
        <x:v>ex_task_001</x:v>
      </x:c>
    </x:row>
    <x:row r="61">
      <x:c r="A61" s="100" t="str">
        <x:v>Requests</x:v>
      </x:c>
      <x:c r="B61" s="100" t="str">
        <x:v>session_id</x:v>
      </x:c>
      <x:c r="C61" s="100" t="str">
        <x:v>Identity</x:v>
      </x:c>
      <x:c r="D61" s="100" t="str">
        <x:v>Required</x:v>
      </x:c>
      <x:c r="E61" s="100" t="str">
        <x:v>text</x:v>
      </x:c>
      <x:c r="F61" s="100" t="str"/>
      <x:c r="G61" s="100" t="str">
        <x:v>连续Agent交互会话标识。</x:v>
      </x:c>
      <x:c r="H61" s="100" t="str"/>
      <x:c r="I61" s="100" t="str">
        <x:v>Internal</x:v>
      </x:c>
      <x:c r="J61" s="100" t="str">
        <x:v>Agent/context builder</x:v>
      </x:c>
      <x:c r="K61" s="100" t="str">
        <x:v>ex_session_001</x:v>
      </x:c>
    </x:row>
    <x:row r="62">
      <x:c r="A62" s="100" t="str">
        <x:v>Requests</x:v>
      </x:c>
      <x:c r="B62" s="100" t="str">
        <x:v>tenant_scope_id</x:v>
      </x:c>
      <x:c r="C62" s="100" t="str">
        <x:v>Identity</x:v>
      </x:c>
      <x:c r="D62" s="100" t="str">
        <x:v>Required</x:v>
      </x:c>
      <x:c r="E62" s="100" t="str">
        <x:v>text</x:v>
      </x:c>
      <x:c r="F62" s="100" t="str"/>
      <x:c r="G62" s="100" t="str">
        <x:v>假名化安全域/租户标识。</x:v>
      </x:c>
      <x:c r="H62" s="100" t="str"/>
      <x:c r="I62" s="100" t="str">
        <x:v>Restricted</x:v>
      </x:c>
      <x:c r="J62" s="100" t="str">
        <x:v>Agent/context builder</x:v>
      </x:c>
      <x:c r="K62" s="100" t="str">
        <x:v>tenant_demo</x:v>
      </x:c>
    </x:row>
    <x:row r="63">
      <x:c r="A63" s="100" t="str">
        <x:v>Requests</x:v>
      </x:c>
      <x:c r="B63" s="100" t="str">
        <x:v>agent_id</x:v>
      </x:c>
      <x:c r="C63" s="100" t="str">
        <x:v>Identity</x:v>
      </x:c>
      <x:c r="D63" s="100" t="str">
        <x:v>Recommended</x:v>
      </x:c>
      <x:c r="E63" s="100" t="str">
        <x:v>text</x:v>
      </x:c>
      <x:c r="F63" s="100" t="str"/>
      <x:c r="G63" s="100" t="str">
        <x:v>Agent控制器或配置标识。</x:v>
      </x:c>
      <x:c r="H63" s="100" t="str"/>
      <x:c r="I63" s="100" t="str">
        <x:v>Internal</x:v>
      </x:c>
      <x:c r="J63" s="100" t="str">
        <x:v>Agent/context builder</x:v>
      </x:c>
      <x:c r="K63" s="100" t="str">
        <x:v>agent_demo</x:v>
      </x:c>
    </x:row>
    <x:row r="64">
      <x:c r="A64" s="100" t="str">
        <x:v>Requests</x:v>
      </x:c>
      <x:c r="B64" s="100" t="str">
        <x:v>request_seq</x:v>
      </x:c>
      <x:c r="C64" s="100" t="str">
        <x:v>Workload</x:v>
      </x:c>
      <x:c r="D64" s="100" t="str">
        <x:v>Required</x:v>
      </x:c>
      <x:c r="E64" s="100" t="str">
        <x:v>integer</x:v>
      </x:c>
      <x:c r="F64" s="100" t="str"/>
      <x:c r="G64" s="100" t="str">
        <x:v>请求在会话/任务中的顺序号。</x:v>
      </x:c>
      <x:c r="H64" s="100" t="str"/>
      <x:c r="I64" s="100" t="str">
        <x:v>Internal</x:v>
      </x:c>
      <x:c r="J64" s="100" t="str">
        <x:v>Agent/context builder</x:v>
      </x:c>
      <x:c r="K64" s="100" t="str">
        <x:v>1</x:v>
      </x:c>
    </x:row>
    <x:row r="65">
      <x:c r="A65" s="100" t="str">
        <x:v>Requests</x:v>
      </x:c>
      <x:c r="B65" s="100" t="str">
        <x:v>timestamp_utc</x:v>
      </x:c>
      <x:c r="C65" s="100" t="str">
        <x:v>Workload</x:v>
      </x:c>
      <x:c r="D65" s="100" t="str">
        <x:v>Required</x:v>
      </x:c>
      <x:c r="E65" s="100" t="str">
        <x:v>datetime</x:v>
      </x:c>
      <x:c r="F65" s="100" t="str">
        <x:v>UTC</x:v>
      </x:c>
      <x:c r="G65" s="100" t="str">
        <x:v>推理服务接受请求的UTC时间。</x:v>
      </x:c>
      <x:c r="H65" s="100" t="str"/>
      <x:c r="I65" s="100" t="str">
        <x:v>Internal</x:v>
      </x:c>
      <x:c r="J65" s="100" t="str">
        <x:v>Agent/context builder</x:v>
      </x:c>
      <x:c r="K65" s="100" t="str">
        <x:v>2026-08-27 09:05:00 UTC</x:v>
      </x:c>
    </x:row>
    <x:row r="66">
      <x:c r="A66" s="100" t="str">
        <x:v>Requests</x:v>
      </x:c>
      <x:c r="B66" s="100" t="str">
        <x:v>scene_class</x:v>
      </x:c>
      <x:c r="C66" s="100" t="str">
        <x:v>Workload</x:v>
      </x:c>
      <x:c r="D66" s="100" t="str">
        <x:v>Required</x:v>
      </x:c>
      <x:c r="E66" s="100" t="str">
        <x:v>text</x:v>
      </x:c>
      <x:c r="F66" s="100" t="str"/>
      <x:c r="G66" s="100" t="str">
        <x:v>general或code_agent，用于候选目标分组。</x:v>
      </x:c>
      <x:c r="H66" s="100" t="str">
        <x:v>general | code_agent</x:v>
      </x:c>
      <x:c r="I66" s="100" t="str">
        <x:v>Internal</x:v>
      </x:c>
      <x:c r="J66" s="100" t="str">
        <x:v>Agent/context builder</x:v>
      </x:c>
      <x:c r="K66" s="100" t="str">
        <x:v>code_agent</x:v>
      </x:c>
    </x:row>
    <x:row r="67">
      <x:c r="A67" s="100" t="str">
        <x:v>Requests</x:v>
      </x:c>
      <x:c r="B67" s="100" t="str">
        <x:v>workload_type</x:v>
      </x:c>
      <x:c r="C67" s="100" t="str">
        <x:v>Workload</x:v>
      </x:c>
      <x:c r="D67" s="100" t="str">
        <x:v>Required</x:v>
      </x:c>
      <x:c r="E67" s="100" t="str">
        <x:v>text</x:v>
      </x:c>
      <x:c r="F67" s="100" t="str"/>
      <x:c r="G67" s="100" t="str">
        <x:v>Code Agent任务类型。</x:v>
      </x:c>
      <x:c r="H67" s="100" t="str">
        <x:v>bug_fix | debug_test | code_review | repo_understanding | refactor | other</x:v>
      </x:c>
      <x:c r="I67" s="100" t="str">
        <x:v>Internal</x:v>
      </x:c>
      <x:c r="J67" s="100" t="str">
        <x:v>Agent/context builder</x:v>
      </x:c>
      <x:c r="K67" s="100" t="str">
        <x:v>bug_fix</x:v>
      </x:c>
    </x:row>
    <x:row r="68">
      <x:c r="A68" s="100" t="str">
        <x:v>Requests</x:v>
      </x:c>
      <x:c r="B68" s="100" t="str">
        <x:v>reuse_scope</x:v>
      </x:c>
      <x:c r="C68" s="100" t="str">
        <x:v>Workload</x:v>
      </x:c>
      <x:c r="D68" s="100" t="str">
        <x:v>Recommended</x:v>
      </x:c>
      <x:c r="E68" s="100" t="str">
        <x:v>text</x:v>
      </x:c>
      <x:c r="F68" s="100" t="str"/>
      <x:c r="G68" s="100" t="str">
        <x:v>本次复用发生的最大范围。</x:v>
      </x:c>
      <x:c r="H68" s="100" t="str">
        <x:v>task | session | repo | platform</x:v>
      </x:c>
      <x:c r="I68" s="100" t="str">
        <x:v>Internal</x:v>
      </x:c>
      <x:c r="J68" s="100" t="str">
        <x:v>Agent/context builder</x:v>
      </x:c>
      <x:c r="K68" s="100" t="str">
        <x:v>task</x:v>
      </x:c>
    </x:row>
    <x:row r="69">
      <x:c r="A69" s="100" t="str">
        <x:v>Requests</x:v>
      </x:c>
      <x:c r="B69" s="100" t="str">
        <x:v>cache_policy</x:v>
      </x:c>
      <x:c r="C69" s="100" t="str">
        <x:v>Workload</x:v>
      </x:c>
      <x:c r="D69" s="100" t="str">
        <x:v>Required</x:v>
      </x:c>
      <x:c r="E69" s="100" t="str">
        <x:v>text</x:v>
      </x:c>
      <x:c r="F69" s="100" t="str"/>
      <x:c r="G69" s="100" t="str">
        <x:v>本请求使用的缓存/实验策略。</x:v>
      </x:c>
      <x:c r="H69" s="100" t="str">
        <x:v>B0_none | B1_engine_prefix | B2_exact_tiered | B3_hierarchical | R1_layout | R2_research</x:v>
      </x:c>
      <x:c r="I69" s="100" t="str">
        <x:v>Internal</x:v>
      </x:c>
      <x:c r="J69" s="100" t="str">
        <x:v>Agent/context builder</x:v>
      </x:c>
      <x:c r="K69" s="100" t="str">
        <x:v>B0_none</x:v>
      </x:c>
    </x:row>
    <x:row r="70">
      <x:c r="A70" s="100" t="str">
        <x:v>Requests</x:v>
      </x:c>
      <x:c r="B70" s="100" t="str">
        <x:v>cache_state</x:v>
      </x:c>
      <x:c r="C70" s="100" t="str">
        <x:v>Workload</x:v>
      </x:c>
      <x:c r="D70" s="100" t="str">
        <x:v>Required</x:v>
      </x:c>
      <x:c r="E70" s="100" t="str">
        <x:v>text</x:v>
      </x:c>
      <x:c r="F70" s="100" t="str"/>
      <x:c r="G70" s="100" t="str">
        <x:v>cold、warm或steady。</x:v>
      </x:c>
      <x:c r="H70" s="100" t="str">
        <x:v>cold | warm | steady</x:v>
      </x:c>
      <x:c r="I70" s="100" t="str">
        <x:v>Internal</x:v>
      </x:c>
      <x:c r="J70" s="100" t="str">
        <x:v>Agent/context builder</x:v>
      </x:c>
      <x:c r="K70" s="100" t="str">
        <x:v>cold</x:v>
      </x:c>
    </x:row>
    <x:row r="71">
      <x:c r="A71" s="100" t="str">
        <x:v>Requests</x:v>
      </x:c>
      <x:c r="B71" s="100" t="str">
        <x:v>hit_shape</x:v>
      </x:c>
      <x:c r="C71" s="100" t="str">
        <x:v>Workload</x:v>
      </x:c>
      <x:c r="D71" s="100" t="str">
        <x:v>Recommended</x:v>
      </x:c>
      <x:c r="E71" s="100" t="str">
        <x:v>text</x:v>
      </x:c>
      <x:c r="F71" s="100" t="str"/>
      <x:c r="G71" s="100" t="str">
        <x:v>full、partial、miss或bypass。</x:v>
      </x:c>
      <x:c r="H71" s="100" t="str">
        <x:v>full | partial | miss | bypass</x:v>
      </x:c>
      <x:c r="I71" s="100" t="str">
        <x:v>Internal</x:v>
      </x:c>
      <x:c r="J71" s="100" t="str">
        <x:v>Agent/context builder</x:v>
      </x:c>
      <x:c r="K71" s="100" t="str">
        <x:v>miss</x:v>
      </x:c>
    </x:row>
    <x:row r="72">
      <x:c r="A72" s="100" t="str">
        <x:v>Requests</x:v>
      </x:c>
      <x:c r="B72" s="100" t="str">
        <x:v>finish_status</x:v>
      </x:c>
      <x:c r="C72" s="100" t="str">
        <x:v>Workload</x:v>
      </x:c>
      <x:c r="D72" s="100" t="str">
        <x:v>Required</x:v>
      </x:c>
      <x:c r="E72" s="100" t="str">
        <x:v>text</x:v>
      </x:c>
      <x:c r="F72" s="100" t="str"/>
      <x:c r="G72" s="100" t="str">
        <x:v>请求最终状态。</x:v>
      </x:c>
      <x:c r="H72" s="100" t="str">
        <x:v>success | error | timeout | cancelled | degraded</x:v>
      </x:c>
      <x:c r="I72" s="100" t="str">
        <x:v>Internal</x:v>
      </x:c>
      <x:c r="J72" s="100" t="str">
        <x:v>Agent/context builder</x:v>
      </x:c>
      <x:c r="K72" s="100" t="str">
        <x:v>success</x:v>
      </x:c>
    </x:row>
    <x:row r="73">
      <x:c r="A73" s="100" t="str">
        <x:v>Requests</x:v>
      </x:c>
      <x:c r="B73" s="100" t="str">
        <x:v>repo_pseudonym</x:v>
      </x:c>
      <x:c r="C73" s="100" t="str">
        <x:v>Repository/context</x:v>
      </x:c>
      <x:c r="D73" s="100" t="str">
        <x:v>Recommended</x:v>
      </x:c>
      <x:c r="E73" s="100" t="str">
        <x:v>text</x:v>
      </x:c>
      <x:c r="F73" s="100" t="str"/>
      <x:c r="G73" s="100" t="str">
        <x:v>假名化仓库标识。</x:v>
      </x:c>
      <x:c r="H73" s="100" t="str"/>
      <x:c r="I73" s="100" t="str">
        <x:v>Restricted</x:v>
      </x:c>
      <x:c r="J73" s="100" t="str">
        <x:v>Agent/context builder</x:v>
      </x:c>
      <x:c r="K73" s="100" t="str">
        <x:v>repo_demo</x:v>
      </x:c>
    </x:row>
    <x:row r="74">
      <x:c r="A74" s="100" t="str">
        <x:v>Requests</x:v>
      </x:c>
      <x:c r="B74" s="100" t="str">
        <x:v>base_commit</x:v>
      </x:c>
      <x:c r="C74" s="100" t="str">
        <x:v>Repository/context</x:v>
      </x:c>
      <x:c r="D74" s="100" t="str">
        <x:v>Recommended</x:v>
      </x:c>
      <x:c r="E74" s="100" t="str">
        <x:v>text</x:v>
      </x:c>
      <x:c r="F74" s="100" t="str"/>
      <x:c r="G74" s="100" t="str">
        <x:v>请求开始时的仓库基准提交。</x:v>
      </x:c>
      <x:c r="H74" s="100" t="str"/>
      <x:c r="I74" s="100" t="str">
        <x:v>Confidential</x:v>
      </x:c>
      <x:c r="J74" s="100" t="str">
        <x:v>Agent/context builder</x:v>
      </x:c>
      <x:c r="K74" s="100" t="str">
        <x:v>commit_demo_0</x:v>
      </x:c>
    </x:row>
    <x:row r="75">
      <x:c r="A75" s="100" t="str">
        <x:v>Requests</x:v>
      </x:c>
      <x:c r="B75" s="100" t="str">
        <x:v>worktree_state_hash</x:v>
      </x:c>
      <x:c r="C75" s="100" t="str">
        <x:v>Repository/context</x:v>
      </x:c>
      <x:c r="D75" s="100" t="str">
        <x:v>Recommended</x:v>
      </x:c>
      <x:c r="E75" s="100" t="str">
        <x:v>text</x:v>
      </x:c>
      <x:c r="F75" s="100" t="str"/>
      <x:c r="G75" s="100" t="str">
        <x:v>工作树状态的规范化哈希。</x:v>
      </x:c>
      <x:c r="H75" s="100" t="str"/>
      <x:c r="I75" s="100" t="str">
        <x:v>Restricted</x:v>
      </x:c>
      <x:c r="J75" s="100" t="str">
        <x:v>Agent/context builder</x:v>
      </x:c>
      <x:c r="K75" s="100" t="str">
        <x:v>sha256:EXAMPLE_TREE_0</x:v>
      </x:c>
    </x:row>
    <x:row r="76">
      <x:c r="A76" s="100" t="str">
        <x:v>Requests</x:v>
      </x:c>
      <x:c r="B76" s="100" t="str">
        <x:v>changed_file_count</x:v>
      </x:c>
      <x:c r="C76" s="100" t="str">
        <x:v>Repository/context</x:v>
      </x:c>
      <x:c r="D76" s="100" t="str">
        <x:v>Recommended</x:v>
      </x:c>
      <x:c r="E76" s="100" t="str">
        <x:v>integer</x:v>
      </x:c>
      <x:c r="F76" s="100" t="str"/>
      <x:c r="G76" s="100" t="str">
        <x:v>相对前一相关请求发生变化的文件数。</x:v>
      </x:c>
      <x:c r="H76" s="100" t="str"/>
      <x:c r="I76" s="100" t="str">
        <x:v>Internal</x:v>
      </x:c>
      <x:c r="J76" s="100" t="str">
        <x:v>Agent/context builder</x:v>
      </x:c>
      <x:c r="K76" s="100" t="str">
        <x:v>0</x:v>
      </x:c>
    </x:row>
    <x:row r="77">
      <x:c r="A77" s="100" t="str">
        <x:v>Requests</x:v>
      </x:c>
      <x:c r="B77" s="100" t="str">
        <x:v>changed_token_ratio</x:v>
      </x:c>
      <x:c r="C77" s="100" t="str">
        <x:v>Repository/context</x:v>
      </x:c>
      <x:c r="D77" s="100" t="str">
        <x:v>Recommended</x:v>
      </x:c>
      <x:c r="E77" s="100" t="str">
        <x:v>number</x:v>
      </x:c>
      <x:c r="F77" s="100" t="str">
        <x:v>ratio</x:v>
      </x:c>
      <x:c r="G77" s="100" t="str">
        <x:v>相对前一相关版本的Token变化比例。</x:v>
      </x:c>
      <x:c r="H77" s="100" t="str"/>
      <x:c r="I77" s="100" t="str">
        <x:v>Internal</x:v>
      </x:c>
      <x:c r="J77" s="100" t="str">
        <x:v>Agent/context builder</x:v>
      </x:c>
      <x:c r="K77" s="100" t="str">
        <x:v>0</x:v>
      </x:c>
    </x:row>
    <x:row r="78">
      <x:c r="A78" s="100" t="str">
        <x:v>Requests</x:v>
      </x:c>
      <x:c r="B78" s="100" t="str">
        <x:v>prompt_layout_version</x:v>
      </x:c>
      <x:c r="C78" s="100" t="str">
        <x:v>Repository/context</x:v>
      </x:c>
      <x:c r="D78" s="100" t="str">
        <x:v>Recommended</x:v>
      </x:c>
      <x:c r="E78" s="100" t="str">
        <x:v>text</x:v>
      </x:c>
      <x:c r="F78" s="100" t="str"/>
      <x:c r="G78" s="100" t="str">
        <x:v>Prompt组件排序与规范化规则版本。</x:v>
      </x:c>
      <x:c r="H78" s="100" t="str"/>
      <x:c r="I78" s="100" t="str">
        <x:v>Internal</x:v>
      </x:c>
      <x:c r="J78" s="100" t="str">
        <x:v>Agent/context builder</x:v>
      </x:c>
      <x:c r="K78" s="100" t="str">
        <x:v>layout_v1</x:v>
      </x:c>
    </x:row>
    <x:row r="79">
      <x:c r="A79" s="100" t="str">
        <x:v>Requests</x:v>
      </x:c>
      <x:c r="B79" s="100" t="str">
        <x:v>prompt_token_count</x:v>
      </x:c>
      <x:c r="C79" s="100" t="str">
        <x:v>Token accounting</x:v>
      </x:c>
      <x:c r="D79" s="100" t="str">
        <x:v>Required</x:v>
      </x:c>
      <x:c r="E79" s="100" t="str">
        <x:v>integer</x:v>
      </x:c>
      <x:c r="F79" s="100" t="str">
        <x:v>token</x:v>
      </x:c>
      <x:c r="G79" s="100" t="str">
        <x:v>模型实际消费的Prompt Token总数。</x:v>
      </x:c>
      <x:c r="H79" s="100" t="str"/>
      <x:c r="I79" s="100" t="str">
        <x:v>Internal</x:v>
      </x:c>
      <x:c r="J79" s="100" t="str">
        <x:v>Inference/cache telemetry</x:v>
      </x:c>
      <x:c r="K79" s="100" t="str">
        <x:v>12000</x:v>
      </x:c>
    </x:row>
    <x:row r="80">
      <x:c r="A80" s="100" t="str">
        <x:v>Requests</x:v>
      </x:c>
      <x:c r="B80" s="100" t="str">
        <x:v>generated_token_count</x:v>
      </x:c>
      <x:c r="C80" s="100" t="str">
        <x:v>Token accounting</x:v>
      </x:c>
      <x:c r="D80" s="100" t="str">
        <x:v>Recommended</x:v>
      </x:c>
      <x:c r="E80" s="100" t="str">
        <x:v>integer</x:v>
      </x:c>
      <x:c r="F80" s="100" t="str">
        <x:v>token</x:v>
      </x:c>
      <x:c r="G80" s="100" t="str">
        <x:v>本请求生成Token数。</x:v>
      </x:c>
      <x:c r="H80" s="100" t="str"/>
      <x:c r="I80" s="100" t="str">
        <x:v>Internal</x:v>
      </x:c>
      <x:c r="J80" s="100" t="str">
        <x:v>Inference/cache telemetry</x:v>
      </x:c>
      <x:c r="K80" s="100" t="str">
        <x:v>200</x:v>
      </x:c>
    </x:row>
    <x:row r="81">
      <x:c r="A81" s="100" t="str">
        <x:v>Requests</x:v>
      </x:c>
      <x:c r="B81" s="100" t="str">
        <x:v>prefix_match_token_count</x:v>
      </x:c>
      <x:c r="C81" s="100" t="str">
        <x:v>Token accounting</x:v>
      </x:c>
      <x:c r="D81" s="100" t="str">
        <x:v>Recommended</x:v>
      </x:c>
      <x:c r="E81" s="100" t="str">
        <x:v>integer</x:v>
      </x:c>
      <x:c r="F81" s="100" t="str">
        <x:v>token</x:v>
      </x:c>
      <x:c r="G81" s="100" t="str">
        <x:v>与候选历史请求相同的最长精确Token前缀。</x:v>
      </x:c>
      <x:c r="H81" s="100" t="str"/>
      <x:c r="I81" s="100" t="str">
        <x:v>Confidential</x:v>
      </x:c>
      <x:c r="J81" s="100" t="str">
        <x:v>Inference/cache telemetry</x:v>
      </x:c>
      <x:c r="K81" s="100" t="str">
        <x:v>0</x:v>
      </x:c>
    </x:row>
    <x:row r="82">
      <x:c r="A82" s="100" t="str">
        <x:v>Requests</x:v>
      </x:c>
      <x:c r="B82" s="100" t="str">
        <x:v>eligible_prefix_token_count</x:v>
      </x:c>
      <x:c r="C82" s="100" t="str">
        <x:v>Token accounting</x:v>
      </x:c>
      <x:c r="D82" s="100" t="str">
        <x:v>Recommended</x:v>
      </x:c>
      <x:c r="E82" s="100" t="str">
        <x:v>integer</x:v>
      </x:c>
      <x:c r="F82" s="100" t="str">
        <x:v>token</x:v>
      </x:c>
      <x:c r="G82" s="100" t="str">
        <x:v>按算法规则可尝试复用的前缀Token数；仅诊断。</x:v>
      </x:c>
      <x:c r="H82" s="100" t="str"/>
      <x:c r="I82" s="100" t="str">
        <x:v>Confidential</x:v>
      </x:c>
      <x:c r="J82" s="100" t="str">
        <x:v>Inference/cache telemetry</x:v>
      </x:c>
      <x:c r="K82" s="100" t="str">
        <x:v>10000</x:v>
      </x:c>
    </x:row>
    <x:row r="83">
      <x:c r="A83" s="100" t="str">
        <x:v>Requests</x:v>
      </x:c>
      <x:c r="B83" s="100" t="str">
        <x:v>logical_hit_token_count</x:v>
      </x:c>
      <x:c r="C83" s="100" t="str">
        <x:v>Token accounting</x:v>
      </x:c>
      <x:c r="D83" s="100" t="str">
        <x:v>Required</x:v>
      </x:c>
      <x:c r="E83" s="100" t="str">
        <x:v>integer</x:v>
      </x:c>
      <x:c r="F83" s="100" t="str">
        <x:v>token</x:v>
      </x:c>
      <x:c r="G83" s="100" t="str">
        <x:v>因缓存命中跳过Prefill计算的Token数。</x:v>
      </x:c>
      <x:c r="H83" s="100" t="str"/>
      <x:c r="I83" s="100" t="str">
        <x:v>Internal</x:v>
      </x:c>
      <x:c r="J83" s="100" t="str">
        <x:v>Inference/cache telemetry</x:v>
      </x:c>
      <x:c r="K83" s="100" t="str">
        <x:v>0</x:v>
      </x:c>
    </x:row>
    <x:row r="84">
      <x:c r="A84" s="100" t="str">
        <x:v>Requests</x:v>
      </x:c>
      <x:c r="B84" s="100" t="str">
        <x:v>effective_hit_token_count</x:v>
      </x:c>
      <x:c r="C84" s="100" t="str">
        <x:v>Token accounting</x:v>
      </x:c>
      <x:c r="D84" s="100" t="str">
        <x:v>Required</x:v>
      </x:c>
      <x:c r="E84" s="100" t="str">
        <x:v>integer</x:v>
      </x:c>
      <x:c r="F84" s="100" t="str">
        <x:v>token</x:v>
      </x:c>
      <x:c r="G84" s="100" t="str">
        <x:v>缓存读取总耗时小于重算耗时的命中Token数。</x:v>
      </x:c>
      <x:c r="H84" s="100" t="str"/>
      <x:c r="I84" s="100" t="str">
        <x:v>Internal</x:v>
      </x:c>
      <x:c r="J84" s="100" t="str">
        <x:v>Inference/cache telemetry</x:v>
      </x:c>
      <x:c r="K84" s="100" t="str">
        <x:v>0</x:v>
      </x:c>
    </x:row>
    <x:row r="85">
      <x:c r="A85" s="100" t="str">
        <x:v>Requests</x:v>
      </x:c>
      <x:c r="B85" s="100" t="str">
        <x:v>negative_hit_token_count</x:v>
      </x:c>
      <x:c r="C85" s="100" t="str">
        <x:v>Token accounting</x:v>
      </x:c>
      <x:c r="D85" s="100" t="str">
        <x:v>Recommended</x:v>
      </x:c>
      <x:c r="E85" s="100" t="str">
        <x:v>integer</x:v>
      </x:c>
      <x:c r="F85" s="100" t="str">
        <x:v>token</x:v>
      </x:c>
      <x:c r="G85" s="100" t="str">
        <x:v>逻辑命中但读取/恢复不快于重算的Token数。</x:v>
      </x:c>
      <x:c r="H85" s="100" t="str"/>
      <x:c r="I85" s="100" t="str">
        <x:v>Internal</x:v>
      </x:c>
      <x:c r="J85" s="100" t="str">
        <x:v>Inference/cache telemetry</x:v>
      </x:c>
      <x:c r="K85" s="100" t="str">
        <x:v>0</x:v>
      </x:c>
    </x:row>
    <x:row r="86">
      <x:c r="A86" s="100" t="str">
        <x:v>Requests</x:v>
      </x:c>
      <x:c r="B86" s="100" t="str">
        <x:v>hbm_hit_tokens</x:v>
      </x:c>
      <x:c r="C86" s="100" t="str">
        <x:v>Token accounting</x:v>
      </x:c>
      <x:c r="D86" s="100" t="str">
        <x:v>Recommended</x:v>
      </x:c>
      <x:c r="E86" s="100" t="str">
        <x:v>integer</x:v>
      </x:c>
      <x:c r="F86" s="100" t="str">
        <x:v>token</x:v>
      </x:c>
      <x:c r="G86" s="100" t="str">
        <x:v>由HBM实际服务且不与其他层重复的Token数。</x:v>
      </x:c>
      <x:c r="H86" s="100" t="str"/>
      <x:c r="I86" s="100" t="str">
        <x:v>Internal</x:v>
      </x:c>
      <x:c r="J86" s="100" t="str">
        <x:v>Inference/cache telemetry</x:v>
      </x:c>
      <x:c r="K86" s="100" t="str">
        <x:v>0</x:v>
      </x:c>
    </x:row>
    <x:row r="87">
      <x:c r="A87" s="100" t="str">
        <x:v>Requests</x:v>
      </x:c>
      <x:c r="B87" s="100" t="str">
        <x:v>dram_hit_tokens</x:v>
      </x:c>
      <x:c r="C87" s="100" t="str">
        <x:v>Token accounting</x:v>
      </x:c>
      <x:c r="D87" s="100" t="str">
        <x:v>Recommended</x:v>
      </x:c>
      <x:c r="E87" s="100" t="str">
        <x:v>integer</x:v>
      </x:c>
      <x:c r="F87" s="100" t="str">
        <x:v>token</x:v>
      </x:c>
      <x:c r="G87" s="100" t="str">
        <x:v>由DRAM实际服务且不与其他层重复的Token数。</x:v>
      </x:c>
      <x:c r="H87" s="100" t="str"/>
      <x:c r="I87" s="100" t="str">
        <x:v>Internal</x:v>
      </x:c>
      <x:c r="J87" s="100" t="str">
        <x:v>Inference/cache telemetry</x:v>
      </x:c>
      <x:c r="K87" s="100" t="str">
        <x:v>0</x:v>
      </x:c>
    </x:row>
    <x:row r="88">
      <x:c r="A88" s="100" t="str">
        <x:v>Requests</x:v>
      </x:c>
      <x:c r="B88" s="100" t="str">
        <x:v>ssd_hit_tokens</x:v>
      </x:c>
      <x:c r="C88" s="100" t="str">
        <x:v>Token accounting</x:v>
      </x:c>
      <x:c r="D88" s="100" t="str">
        <x:v>Recommended</x:v>
      </x:c>
      <x:c r="E88" s="100" t="str">
        <x:v>integer</x:v>
      </x:c>
      <x:c r="F88" s="100" t="str">
        <x:v>token</x:v>
      </x:c>
      <x:c r="G88" s="100" t="str">
        <x:v>由SSD实际服务且不与其他层重复的Token数。</x:v>
      </x:c>
      <x:c r="H88" s="100" t="str"/>
      <x:c r="I88" s="100" t="str">
        <x:v>Internal</x:v>
      </x:c>
      <x:c r="J88" s="100" t="str">
        <x:v>Inference/cache telemetry</x:v>
      </x:c>
      <x:c r="K88" s="100" t="str">
        <x:v>0</x:v>
      </x:c>
    </x:row>
    <x:row r="89">
      <x:c r="A89" s="100" t="str">
        <x:v>Requests</x:v>
      </x:c>
      <x:c r="B89" s="100" t="str">
        <x:v>remote_hit_tokens</x:v>
      </x:c>
      <x:c r="C89" s="100" t="str">
        <x:v>Token accounting</x:v>
      </x:c>
      <x:c r="D89" s="100" t="str">
        <x:v>Recommended</x:v>
      </x:c>
      <x:c r="E89" s="100" t="str">
        <x:v>integer</x:v>
      </x:c>
      <x:c r="F89" s="100" t="str">
        <x:v>token</x:v>
      </x:c>
      <x:c r="G89" s="100" t="str">
        <x:v>由远端存储实际服务且不与其他层重复的Token数。</x:v>
      </x:c>
      <x:c r="H89" s="100" t="str"/>
      <x:c r="I89" s="100" t="str">
        <x:v>Internal</x:v>
      </x:c>
      <x:c r="J89" s="100" t="str">
        <x:v>Inference/cache telemetry</x:v>
      </x:c>
      <x:c r="K89" s="100" t="str">
        <x:v>0</x:v>
      </x:c>
    </x:row>
    <x:row r="90">
      <x:c r="A90" s="100" t="str">
        <x:v>Requests</x:v>
      </x:c>
      <x:c r="B90" s="100" t="str">
        <x:v>miss_tokens</x:v>
      </x:c>
      <x:c r="C90" s="100" t="str">
        <x:v>Token accounting</x:v>
      </x:c>
      <x:c r="D90" s="100" t="str">
        <x:v>Required</x:v>
      </x:c>
      <x:c r="E90" s="100" t="str">
        <x:v>integer</x:v>
      </x:c>
      <x:c r="F90" s="100" t="str">
        <x:v>token</x:v>
      </x:c>
      <x:c r="G90" s="100" t="str">
        <x:v>需要重新Prefill的Prompt Token数。</x:v>
      </x:c>
      <x:c r="H90" s="100" t="str"/>
      <x:c r="I90" s="100" t="str">
        <x:v>Internal</x:v>
      </x:c>
      <x:c r="J90" s="100" t="str">
        <x:v>Inference/cache telemetry</x:v>
      </x:c>
      <x:c r="K90" s="100" t="str">
        <x:v>12000</x:v>
      </x:c>
    </x:row>
    <x:row r="91">
      <x:c r="A91" s="100" t="str">
        <x:v>Requests</x:v>
      </x:c>
      <x:c r="B91" s="100" t="str">
        <x:v>queue_ms</x:v>
      </x:c>
      <x:c r="C91" s="100" t="str">
        <x:v>Latency</x:v>
      </x:c>
      <x:c r="D91" s="100" t="str">
        <x:v>Recommended</x:v>
      </x:c>
      <x:c r="E91" s="100" t="str">
        <x:v>number</x:v>
      </x:c>
      <x:c r="F91" s="100" t="str">
        <x:v>ms</x:v>
      </x:c>
      <x:c r="G91" s="100" t="str">
        <x:v>请求排队耗时。</x:v>
      </x:c>
      <x:c r="H91" s="100" t="str"/>
      <x:c r="I91" s="100" t="str">
        <x:v>Internal</x:v>
      </x:c>
      <x:c r="J91" s="100" t="str">
        <x:v>Inference/cache telemetry</x:v>
      </x:c>
      <x:c r="K91" s="100" t="str">
        <x:v>10</x:v>
      </x:c>
    </x:row>
    <x:row r="92">
      <x:c r="A92" s="100" t="str">
        <x:v>Requests</x:v>
      </x:c>
      <x:c r="B92" s="100" t="str">
        <x:v>tokenize_ms</x:v>
      </x:c>
      <x:c r="C92" s="100" t="str">
        <x:v>Token accounting</x:v>
      </x:c>
      <x:c r="D92" s="100" t="str">
        <x:v>Recommended</x:v>
      </x:c>
      <x:c r="E92" s="100" t="str">
        <x:v>number</x:v>
      </x:c>
      <x:c r="F92" s="100" t="str">
        <x:v>ms</x:v>
      </x:c>
      <x:c r="G92" s="100" t="str">
        <x:v>Tokenization耗时。</x:v>
      </x:c>
      <x:c r="H92" s="100" t="str"/>
      <x:c r="I92" s="100" t="str">
        <x:v>Internal</x:v>
      </x:c>
      <x:c r="J92" s="100" t="str">
        <x:v>Inference/cache telemetry</x:v>
      </x:c>
      <x:c r="K92" s="100" t="str">
        <x:v>12</x:v>
      </x:c>
    </x:row>
    <x:row r="93">
      <x:c r="A93" s="100" t="str">
        <x:v>Requests</x:v>
      </x:c>
      <x:c r="B93" s="100" t="str">
        <x:v>cache_lookup_ms</x:v>
      </x:c>
      <x:c r="C93" s="100" t="str">
        <x:v>Latency</x:v>
      </x:c>
      <x:c r="D93" s="100" t="str">
        <x:v>Recommended</x:v>
      </x:c>
      <x:c r="E93" s="100" t="str">
        <x:v>number</x:v>
      </x:c>
      <x:c r="F93" s="100" t="str">
        <x:v>ms</x:v>
      </x:c>
      <x:c r="G93" s="100" t="str">
        <x:v>缓存索引查找耗时。</x:v>
      </x:c>
      <x:c r="H93" s="100" t="str"/>
      <x:c r="I93" s="100" t="str">
        <x:v>Internal</x:v>
      </x:c>
      <x:c r="J93" s="100" t="str">
        <x:v>Inference/cache telemetry</x:v>
      </x:c>
      <x:c r="K93" s="100" t="str">
        <x:v>0</x:v>
      </x:c>
    </x:row>
    <x:row r="94">
      <x:c r="A94" s="100" t="str">
        <x:v>Requests</x:v>
      </x:c>
      <x:c r="B94" s="100" t="str">
        <x:v>cache_transfer_ms</x:v>
      </x:c>
      <x:c r="C94" s="100" t="str">
        <x:v>Latency</x:v>
      </x:c>
      <x:c r="D94" s="100" t="str">
        <x:v>Recommended</x:v>
      </x:c>
      <x:c r="E94" s="100" t="str">
        <x:v>number</x:v>
      </x:c>
      <x:c r="F94" s="100" t="str">
        <x:v>ms</x:v>
      </x:c>
      <x:c r="G94" s="100" t="str">
        <x:v>缓存数据搬运/网络传输耗时。</x:v>
      </x:c>
      <x:c r="H94" s="100" t="str"/>
      <x:c r="I94" s="100" t="str">
        <x:v>Internal</x:v>
      </x:c>
      <x:c r="J94" s="100" t="str">
        <x:v>Inference/cache telemetry</x:v>
      </x:c>
      <x:c r="K94" s="100" t="str">
        <x:v>0</x:v>
      </x:c>
    </x:row>
    <x:row r="95">
      <x:c r="A95" s="100" t="str">
        <x:v>Requests</x:v>
      </x:c>
      <x:c r="B95" s="100" t="str">
        <x:v>cache_restore_ms</x:v>
      </x:c>
      <x:c r="C95" s="100" t="str">
        <x:v>Latency</x:v>
      </x:c>
      <x:c r="D95" s="100" t="str">
        <x:v>Recommended</x:v>
      </x:c>
      <x:c r="E95" s="100" t="str">
        <x:v>number</x:v>
      </x:c>
      <x:c r="F95" s="100" t="str">
        <x:v>ms</x:v>
      </x:c>
      <x:c r="G95" s="100" t="str">
        <x:v>解码、反量化、布局恢复等耗时。</x:v>
      </x:c>
      <x:c r="H95" s="100" t="str"/>
      <x:c r="I95" s="100" t="str">
        <x:v>Internal</x:v>
      </x:c>
      <x:c r="J95" s="100" t="str">
        <x:v>Inference/cache telemetry</x:v>
      </x:c>
      <x:c r="K95" s="100" t="str">
        <x:v>0</x:v>
      </x:c>
    </x:row>
    <x:row r="96">
      <x:c r="A96" s="100" t="str">
        <x:v>Requests</x:v>
      </x:c>
      <x:c r="B96" s="100" t="str">
        <x:v>prefill_compute_ms</x:v>
      </x:c>
      <x:c r="C96" s="100" t="str">
        <x:v>Latency</x:v>
      </x:c>
      <x:c r="D96" s="100" t="str">
        <x:v>Recommended</x:v>
      </x:c>
      <x:c r="E96" s="100" t="str">
        <x:v>number</x:v>
      </x:c>
      <x:c r="F96" s="100" t="str">
        <x:v>ms</x:v>
      </x:c>
      <x:c r="G96" s="100" t="str">
        <x:v>未命中部分Prefill计算耗时。</x:v>
      </x:c>
      <x:c r="H96" s="100" t="str"/>
      <x:c r="I96" s="100" t="str">
        <x:v>Confidential</x:v>
      </x:c>
      <x:c r="J96" s="100" t="str">
        <x:v>Inference/cache telemetry</x:v>
      </x:c>
      <x:c r="K96" s="100" t="str">
        <x:v>1950</x:v>
      </x:c>
    </x:row>
    <x:row r="97">
      <x:c r="A97" s="100" t="str">
        <x:v>Requests</x:v>
      </x:c>
      <x:c r="B97" s="100" t="str">
        <x:v>engine_ttft_ms</x:v>
      </x:c>
      <x:c r="C97" s="100" t="str">
        <x:v>Latency</x:v>
      </x:c>
      <x:c r="D97" s="100" t="str">
        <x:v>Recommended</x:v>
      </x:c>
      <x:c r="E97" s="100" t="str">
        <x:v>number</x:v>
      </x:c>
      <x:c r="F97" s="100" t="str">
        <x:v>ms</x:v>
      </x:c>
      <x:c r="G97" s="100" t="str">
        <x:v>引擎内部从开始执行到首Token耗时。</x:v>
      </x:c>
      <x:c r="H97" s="100" t="str"/>
      <x:c r="I97" s="100" t="str">
        <x:v>Internal</x:v>
      </x:c>
      <x:c r="J97" s="100" t="str">
        <x:v>Inference/cache telemetry</x:v>
      </x:c>
      <x:c r="K97" s="100" t="str">
        <x:v>2050</x:v>
      </x:c>
    </x:row>
    <x:row r="98">
      <x:c r="A98" s="100" t="str">
        <x:v>Requests</x:v>
      </x:c>
      <x:c r="B98" s="100" t="str">
        <x:v>e2e_ttft_ms</x:v>
      </x:c>
      <x:c r="C98" s="100" t="str">
        <x:v>Latency</x:v>
      </x:c>
      <x:c r="D98" s="100" t="str">
        <x:v>Required</x:v>
      </x:c>
      <x:c r="E98" s="100" t="str">
        <x:v>number</x:v>
      </x:c>
      <x:c r="F98" s="100" t="str">
        <x:v>ms</x:v>
      </x:c>
      <x:c r="G98" s="100" t="str">
        <x:v>服务接受请求到首Token的端到端耗时。</x:v>
      </x:c>
      <x:c r="H98" s="100" t="str"/>
      <x:c r="I98" s="100" t="str">
        <x:v>Internal</x:v>
      </x:c>
      <x:c r="J98" s="100" t="str">
        <x:v>Inference/cache telemetry</x:v>
      </x:c>
      <x:c r="K98" s="100" t="str">
        <x:v>2100</x:v>
      </x:c>
    </x:row>
    <x:row r="99">
      <x:c r="A99" s="100" t="str">
        <x:v>Requests</x:v>
      </x:c>
      <x:c r="B99" s="100" t="str">
        <x:v>decode_ms</x:v>
      </x:c>
      <x:c r="C99" s="100" t="str">
        <x:v>Latency</x:v>
      </x:c>
      <x:c r="D99" s="100" t="str">
        <x:v>Recommended</x:v>
      </x:c>
      <x:c r="E99" s="100" t="str">
        <x:v>number</x:v>
      </x:c>
      <x:c r="F99" s="100" t="str">
        <x:v>ms</x:v>
      </x:c>
      <x:c r="G99" s="100" t="str">
        <x:v>Decode阶段总耗时。</x:v>
      </x:c>
      <x:c r="H99" s="100" t="str"/>
      <x:c r="I99" s="100" t="str">
        <x:v>Internal</x:v>
      </x:c>
      <x:c r="J99" s="100" t="str">
        <x:v>Inference/cache telemetry</x:v>
      </x:c>
      <x:c r="K99" s="100" t="str">
        <x:v>300</x:v>
      </x:c>
    </x:row>
    <x:row r="100">
      <x:c r="A100" s="100" t="str">
        <x:v>Requests</x:v>
      </x:c>
      <x:c r="B100" s="100" t="str">
        <x:v>total_request_ms</x:v>
      </x:c>
      <x:c r="C100" s="100" t="str">
        <x:v>Latency</x:v>
      </x:c>
      <x:c r="D100" s="100" t="str">
        <x:v>Recommended</x:v>
      </x:c>
      <x:c r="E100" s="100" t="str">
        <x:v>number</x:v>
      </x:c>
      <x:c r="F100" s="100" t="str">
        <x:v>ms</x:v>
      </x:c>
      <x:c r="G100" s="100" t="str">
        <x:v>请求端到端总时长。</x:v>
      </x:c>
      <x:c r="H100" s="100" t="str"/>
      <x:c r="I100" s="100" t="str">
        <x:v>Internal</x:v>
      </x:c>
      <x:c r="J100" s="100" t="str">
        <x:v>Inference/cache telemetry</x:v>
      </x:c>
      <x:c r="K100" s="100" t="str">
        <x:v>2400</x:v>
      </x:c>
    </x:row>
    <x:row r="101">
      <x:c r="A101" s="100" t="str">
        <x:v>Requests</x:v>
      </x:c>
      <x:c r="B101" s="100" t="str">
        <x:v>gpu_time_ms</x:v>
      </x:c>
      <x:c r="C101" s="100" t="str">
        <x:v>Latency</x:v>
      </x:c>
      <x:c r="D101" s="100" t="str">
        <x:v>Recommended</x:v>
      </x:c>
      <x:c r="E101" s="100" t="str">
        <x:v>number</x:v>
      </x:c>
      <x:c r="F101" s="100" t="str">
        <x:v>ms</x:v>
      </x:c>
      <x:c r="G101" s="100" t="str">
        <x:v>按冻结口径统计的GPU时间。</x:v>
      </x:c>
      <x:c r="H101" s="100" t="str"/>
      <x:c r="I101" s="100" t="str">
        <x:v>Internal</x:v>
      </x:c>
      <x:c r="J101" s="100" t="str">
        <x:v>Inference/cache telemetry</x:v>
      </x:c>
      <x:c r="K101" s="100" t="str">
        <x:v>2100</x:v>
      </x:c>
    </x:row>
    <x:row r="102">
      <x:c r="A102" s="100" t="str">
        <x:v>Requests</x:v>
      </x:c>
      <x:c r="B102" s="100" t="str">
        <x:v>cpu_time_ms</x:v>
      </x:c>
      <x:c r="C102" s="100" t="str">
        <x:v>Latency</x:v>
      </x:c>
      <x:c r="D102" s="100" t="str">
        <x:v>Recommended</x:v>
      </x:c>
      <x:c r="E102" s="100" t="str">
        <x:v>number</x:v>
      </x:c>
      <x:c r="F102" s="100" t="str">
        <x:v>ms</x:v>
      </x:c>
      <x:c r="G102" s="100" t="str">
        <x:v>按冻结口径统计的CPU时间。</x:v>
      </x:c>
      <x:c r="H102" s="100" t="str"/>
      <x:c r="I102" s="100" t="str">
        <x:v>Internal</x:v>
      </x:c>
      <x:c r="J102" s="100" t="str">
        <x:v>Inference/cache telemetry</x:v>
      </x:c>
      <x:c r="K102" s="100" t="str">
        <x:v>20</x:v>
      </x:c>
    </x:row>
    <x:row r="103">
      <x:c r="A103" s="100" t="str">
        <x:v>Requests</x:v>
      </x:c>
      <x:c r="B103" s="100" t="str">
        <x:v>cache_read_bytes</x:v>
      </x:c>
      <x:c r="C103" s="100" t="str">
        <x:v>Resource/cost</x:v>
      </x:c>
      <x:c r="D103" s="100" t="str">
        <x:v>Recommended</x:v>
      </x:c>
      <x:c r="E103" s="100" t="str">
        <x:v>integer</x:v>
      </x:c>
      <x:c r="F103" s="100" t="str">
        <x:v>bytes</x:v>
      </x:c>
      <x:c r="G103" s="100" t="str">
        <x:v>所有缓存层读取字节数。</x:v>
      </x:c>
      <x:c r="H103" s="100" t="str"/>
      <x:c r="I103" s="100" t="str">
        <x:v>Internal</x:v>
      </x:c>
      <x:c r="J103" s="100" t="str">
        <x:v>Inference/cache telemetry</x:v>
      </x:c>
      <x:c r="K103" s="100" t="str">
        <x:v>0</x:v>
      </x:c>
    </x:row>
    <x:row r="104">
      <x:c r="A104" s="100" t="str">
        <x:v>Requests</x:v>
      </x:c>
      <x:c r="B104" s="100" t="str">
        <x:v>cache_write_bytes</x:v>
      </x:c>
      <x:c r="C104" s="100" t="str">
        <x:v>Resource/cost</x:v>
      </x:c>
      <x:c r="D104" s="100" t="str">
        <x:v>Recommended</x:v>
      </x:c>
      <x:c r="E104" s="100" t="str">
        <x:v>integer</x:v>
      </x:c>
      <x:c r="F104" s="100" t="str">
        <x:v>bytes</x:v>
      </x:c>
      <x:c r="G104" s="100" t="str">
        <x:v>所有缓存层写入字节数。</x:v>
      </x:c>
      <x:c r="H104" s="100" t="str"/>
      <x:c r="I104" s="100" t="str">
        <x:v>Internal</x:v>
      </x:c>
      <x:c r="J104" s="100" t="str">
        <x:v>Inference/cache telemetry</x:v>
      </x:c>
      <x:c r="K104" s="100" t="str">
        <x:v>192000000</x:v>
      </x:c>
    </x:row>
    <x:row r="105">
      <x:c r="A105" s="100" t="str">
        <x:v>Requests</x:v>
      </x:c>
      <x:c r="B105" s="100" t="str">
        <x:v>network_read_bytes</x:v>
      </x:c>
      <x:c r="C105" s="100" t="str">
        <x:v>Resource/cost</x:v>
      </x:c>
      <x:c r="D105" s="100" t="str">
        <x:v>Recommended</x:v>
      </x:c>
      <x:c r="E105" s="100" t="str">
        <x:v>integer</x:v>
      </x:c>
      <x:c r="F105" s="100" t="str">
        <x:v>bytes</x:v>
      </x:c>
      <x:c r="G105" s="100" t="str">
        <x:v>远端/网络读取字节数。</x:v>
      </x:c>
      <x:c r="H105" s="100" t="str"/>
      <x:c r="I105" s="100" t="str">
        <x:v>Internal</x:v>
      </x:c>
      <x:c r="J105" s="100" t="str">
        <x:v>Inference/cache telemetry</x:v>
      </x:c>
      <x:c r="K105" s="100" t="str">
        <x:v>0</x:v>
      </x:c>
    </x:row>
    <x:row r="106">
      <x:c r="A106" s="100" t="str">
        <x:v>Requests</x:v>
      </x:c>
      <x:c r="B106" s="100" t="str">
        <x:v>hbm_peak_bytes</x:v>
      </x:c>
      <x:c r="C106" s="100" t="str">
        <x:v>Resource/cost</x:v>
      </x:c>
      <x:c r="D106" s="100" t="str">
        <x:v>Recommended</x:v>
      </x:c>
      <x:c r="E106" s="100" t="str">
        <x:v>integer</x:v>
      </x:c>
      <x:c r="F106" s="100" t="str">
        <x:v>bytes</x:v>
      </x:c>
      <x:c r="G106" s="100" t="str">
        <x:v>请求期间HBM峰值占用。</x:v>
      </x:c>
      <x:c r="H106" s="100" t="str"/>
      <x:c r="I106" s="100" t="str">
        <x:v>Internal</x:v>
      </x:c>
      <x:c r="J106" s="100" t="str">
        <x:v>Inference/cache telemetry</x:v>
      </x:c>
      <x:c r="K106" s="100" t="str">
        <x:v>8000000000</x:v>
      </x:c>
    </x:row>
    <x:row r="107">
      <x:c r="A107" s="100" t="str">
        <x:v>Requests</x:v>
      </x:c>
      <x:c r="B107" s="100" t="str">
        <x:v>dram_peak_bytes</x:v>
      </x:c>
      <x:c r="C107" s="100" t="str">
        <x:v>Resource/cost</x:v>
      </x:c>
      <x:c r="D107" s="100" t="str">
        <x:v>Recommended</x:v>
      </x:c>
      <x:c r="E107" s="100" t="str">
        <x:v>integer</x:v>
      </x:c>
      <x:c r="F107" s="100" t="str">
        <x:v>bytes</x:v>
      </x:c>
      <x:c r="G107" s="100" t="str">
        <x:v>请求期间DRAM峰值占用。</x:v>
      </x:c>
      <x:c r="H107" s="100" t="str"/>
      <x:c r="I107" s="100" t="str">
        <x:v>Internal</x:v>
      </x:c>
      <x:c r="J107" s="100" t="str">
        <x:v>Inference/cache telemetry</x:v>
      </x:c>
      <x:c r="K107" s="100" t="str">
        <x:v>1000000000</x:v>
      </x:c>
    </x:row>
    <x:row r="108">
      <x:c r="A108" s="100" t="str">
        <x:v>Requests</x:v>
      </x:c>
      <x:c r="B108" s="100" t="str">
        <x:v>system_cost_units</x:v>
      </x:c>
      <x:c r="C108" s="100" t="str">
        <x:v>Resource/cost</x:v>
      </x:c>
      <x:c r="D108" s="100" t="str">
        <x:v>Recommended</x:v>
      </x:c>
      <x:c r="E108" s="100" t="str">
        <x:v>number</x:v>
      </x:c>
      <x:c r="F108" s="100" t="str">
        <x:v>cost unit</x:v>
      </x:c>
      <x:c r="G108" s="100" t="str">
        <x:v>缓存系统请求成本，使用cost_rate_version折算。</x:v>
      </x:c>
      <x:c r="H108" s="100" t="str"/>
      <x:c r="I108" s="100" t="str">
        <x:v>Internal</x:v>
      </x:c>
      <x:c r="J108" s="100" t="str">
        <x:v>Inference/cache telemetry</x:v>
      </x:c>
      <x:c r="K108" s="100" t="str">
        <x:v>1</x:v>
      </x:c>
    </x:row>
    <x:row r="109">
      <x:c r="A109" s="100" t="str">
        <x:v>Requests</x:v>
      </x:c>
      <x:c r="B109" s="100" t="str">
        <x:v>baseline_e2e_ttft_ms</x:v>
      </x:c>
      <x:c r="C109" s="100" t="str">
        <x:v>Latency</x:v>
      </x:c>
      <x:c r="D109" s="100" t="str">
        <x:v>Conditional</x:v>
      </x:c>
      <x:c r="E109" s="100" t="str">
        <x:v>number</x:v>
      </x:c>
      <x:c r="F109" s="100" t="str">
        <x:v>ms</x:v>
      </x:c>
      <x:c r="G109" s="100" t="str">
        <x:v>配对无缓存基线TTFT。</x:v>
      </x:c>
      <x:c r="H109" s="100" t="str"/>
      <x:c r="I109" s="100" t="str">
        <x:v>Internal</x:v>
      </x:c>
      <x:c r="J109" s="100" t="str">
        <x:v>Inference/cache telemetry</x:v>
      </x:c>
      <x:c r="K109" s="100" t="str">
        <x:v>2100</x:v>
      </x:c>
    </x:row>
    <x:row r="110">
      <x:c r="A110" s="100" t="str">
        <x:v>Requests</x:v>
      </x:c>
      <x:c r="B110" s="100" t="str">
        <x:v>baseline_cost_units</x:v>
      </x:c>
      <x:c r="C110" s="100" t="str">
        <x:v>Resource/cost</x:v>
      </x:c>
      <x:c r="D110" s="100" t="str">
        <x:v>Conditional</x:v>
      </x:c>
      <x:c r="E110" s="100" t="str">
        <x:v>number</x:v>
      </x:c>
      <x:c r="F110" s="100" t="str">
        <x:v>cost unit</x:v>
      </x:c>
      <x:c r="G110" s="100" t="str">
        <x:v>配对无缓存基线成本。</x:v>
      </x:c>
      <x:c r="H110" s="100" t="str"/>
      <x:c r="I110" s="100" t="str">
        <x:v>Internal</x:v>
      </x:c>
      <x:c r="J110" s="100" t="str">
        <x:v>Inference/cache telemetry</x:v>
      </x:c>
      <x:c r="K110" s="100" t="str">
        <x:v>1</x:v>
      </x:c>
    </x:row>
    <x:row r="111">
      <x:c r="A111" s="100" t="str">
        <x:v>Requests</x:v>
      </x:c>
      <x:c r="B111" s="100" t="str">
        <x:v>output_token_match_rate</x:v>
      </x:c>
      <x:c r="C111" s="100" t="str">
        <x:v>Token accounting</x:v>
      </x:c>
      <x:c r="D111" s="100" t="str">
        <x:v>Recommended</x:v>
      </x:c>
      <x:c r="E111" s="100" t="str">
        <x:v>number</x:v>
      </x:c>
      <x:c r="F111" s="100" t="str">
        <x:v>ratio</x:v>
      </x:c>
      <x:c r="G111" s="100" t="str">
        <x:v>与配对基线输出Token的一致率。</x:v>
      </x:c>
      <x:c r="H111" s="100" t="str"/>
      <x:c r="I111" s="100" t="str">
        <x:v>Internal</x:v>
      </x:c>
      <x:c r="J111" s="100" t="str">
        <x:v>Inference/cache telemetry</x:v>
      </x:c>
      <x:c r="K111" s="100" t="str">
        <x:v>1</x:v>
      </x:c>
    </x:row>
    <x:row r="112">
      <x:c r="A112" s="100" t="str">
        <x:v>Requests</x:v>
      </x:c>
      <x:c r="B112" s="100" t="str">
        <x:v>logit_max_abs_error</x:v>
      </x:c>
      <x:c r="C112" s="100" t="str">
        <x:v>Quality</x:v>
      </x:c>
      <x:c r="D112" s="100" t="str">
        <x:v>Recommended</x:v>
      </x:c>
      <x:c r="E112" s="100" t="str">
        <x:v>number</x:v>
      </x:c>
      <x:c r="F112" s="100" t="str"/>
      <x:c r="G112" s="100" t="str">
        <x:v>与配对基线的最大Logit绝对误差。</x:v>
      </x:c>
      <x:c r="H112" s="100" t="str"/>
      <x:c r="I112" s="100" t="str">
        <x:v>Internal</x:v>
      </x:c>
      <x:c r="J112" s="100" t="str">
        <x:v>Agent/context builder</x:v>
      </x:c>
      <x:c r="K112" s="100" t="str">
        <x:v>0</x:v>
      </x:c>
    </x:row>
    <x:row r="113">
      <x:c r="A113" s="100" t="str">
        <x:v>Requests</x:v>
      </x:c>
      <x:c r="B113" s="100" t="str">
        <x:v>task_success_flag</x:v>
      </x:c>
      <x:c r="C113" s="100" t="str">
        <x:v>Quality</x:v>
      </x:c>
      <x:c r="D113" s="100" t="str">
        <x:v>Recommended</x:v>
      </x:c>
      <x:c r="E113" s="100" t="str">
        <x:v>integer</x:v>
      </x:c>
      <x:c r="F113" s="100" t="str"/>
      <x:c r="G113" s="100" t="str">
        <x:v>任务级或请求映射的成功标志。</x:v>
      </x:c>
      <x:c r="H113" s="100" t="str">
        <x:v>0 | 1</x:v>
      </x:c>
      <x:c r="I113" s="100" t="str">
        <x:v>Internal</x:v>
      </x:c>
      <x:c r="J113" s="100" t="str">
        <x:v>Agent/context builder</x:v>
      </x:c>
      <x:c r="K113" s="100" t="str">
        <x:v>1</x:v>
      </x:c>
    </x:row>
    <x:row r="114">
      <x:c r="A114" s="100" t="str">
        <x:v>Requests</x:v>
      </x:c>
      <x:c r="B114" s="100" t="str">
        <x:v>error_type</x:v>
      </x:c>
      <x:c r="C114" s="100" t="str">
        <x:v>Quality</x:v>
      </x:c>
      <x:c r="D114" s="100" t="str">
        <x:v>Conditional</x:v>
      </x:c>
      <x:c r="E114" s="100" t="str">
        <x:v>text</x:v>
      </x:c>
      <x:c r="F114" s="100" t="str"/>
      <x:c r="G114" s="100" t="str">
        <x:v>预先登记的错误分类。</x:v>
      </x:c>
      <x:c r="H114" s="100" t="str"/>
      <x:c r="I114" s="100" t="str">
        <x:v>Internal</x:v>
      </x:c>
      <x:c r="J114" s="100" t="str">
        <x:v>Agent/context builder</x:v>
      </x:c>
      <x:c r="K114" s="100" t="str"/>
    </x:row>
    <x:row r="115">
      <x:c r="A115" s="100" t="str">
        <x:v>Requests</x:v>
      </x:c>
      <x:c r="B115" s="100" t="str">
        <x:v>notes</x:v>
      </x:c>
      <x:c r="C115" s="100" t="str">
        <x:v>Other</x:v>
      </x:c>
      <x:c r="D115" s="100" t="str">
        <x:v>Conditional</x:v>
      </x:c>
      <x:c r="E115" s="100" t="str">
        <x:v>text</x:v>
      </x:c>
      <x:c r="F115" s="100" t="str"/>
      <x:c r="G115" s="100" t="str">
        <x:v>补充说明；不得放入未经批准的原始敏感内容。</x:v>
      </x:c>
      <x:c r="H115" s="100" t="str"/>
      <x:c r="I115" s="100" t="str">
        <x:v>Internal</x:v>
      </x:c>
      <x:c r="J115" s="100" t="str">
        <x:v>Agent/context builder</x:v>
      </x:c>
      <x:c r="K115" s="100" t="str">
        <x:v>示例A：冷启动/无缓存。</x:v>
      </x:c>
    </x:row>
    <x:row r="116">
      <x:c r="A116" s="100" t="str">
        <x:v>Requests</x:v>
      </x:c>
      <x:c r="B116" s="100" t="str">
        <x:v>request_hit_flag</x:v>
      </x:c>
      <x:c r="C116" s="100" t="str">
        <x:v>Derived</x:v>
      </x:c>
      <x:c r="D116" s="100" t="str">
        <x:v>Recommended</x:v>
      </x:c>
      <x:c r="E116" s="100" t="str">
        <x:v>integer</x:v>
      </x:c>
      <x:c r="F116" s="100" t="str"/>
      <x:c r="G116" s="100" t="str">
        <x:v>派生：logical_hit_token_count大于0则为1。</x:v>
      </x:c>
      <x:c r="H116" s="100" t="str"/>
      <x:c r="I116" s="100" t="str">
        <x:v>Internal</x:v>
      </x:c>
      <x:c r="J116" s="100" t="str">
        <x:v>Inference/cache telemetry</x:v>
      </x:c>
      <x:c r="K116" s="100" t="str"/>
    </x:row>
    <x:row r="117">
      <x:c r="A117" s="100" t="str">
        <x:v>Requests</x:v>
      </x:c>
      <x:c r="B117" s="100" t="str">
        <x:v>logical_token_hit_rate</x:v>
      </x:c>
      <x:c r="C117" s="100" t="str">
        <x:v>Token accounting</x:v>
      </x:c>
      <x:c r="D117" s="100" t="str">
        <x:v>Recommended</x:v>
      </x:c>
      <x:c r="E117" s="100" t="str">
        <x:v>number</x:v>
      </x:c>
      <x:c r="F117" s="100" t="str">
        <x:v>ratio</x:v>
      </x:c>
      <x:c r="G117" s="100" t="str">
        <x:v>派生：逻辑命中Token/Prompt Token。</x:v>
      </x:c>
      <x:c r="H117" s="100" t="str"/>
      <x:c r="I117" s="100" t="str">
        <x:v>Internal</x:v>
      </x:c>
      <x:c r="J117" s="100" t="str">
        <x:v>Inference/cache telemetry</x:v>
      </x:c>
      <x:c r="K117" s="100" t="str"/>
    </x:row>
    <x:row r="118">
      <x:c r="A118" s="100" t="str">
        <x:v>Requests</x:v>
      </x:c>
      <x:c r="B118" s="100" t="str">
        <x:v>effective_token_hit_rate</x:v>
      </x:c>
      <x:c r="C118" s="100" t="str">
        <x:v>Token accounting</x:v>
      </x:c>
      <x:c r="D118" s="100" t="str">
        <x:v>Recommended</x:v>
      </x:c>
      <x:c r="E118" s="100" t="str">
        <x:v>number</x:v>
      </x:c>
      <x:c r="F118" s="100" t="str">
        <x:v>ratio</x:v>
      </x:c>
      <x:c r="G118" s="100" t="str">
        <x:v>派生：有效命中Token/Prompt Token。</x:v>
      </x:c>
      <x:c r="H118" s="100" t="str"/>
      <x:c r="I118" s="100" t="str">
        <x:v>Internal</x:v>
      </x:c>
      <x:c r="J118" s="100" t="str">
        <x:v>Inference/cache telemetry</x:v>
      </x:c>
      <x:c r="K118" s="100" t="str"/>
    </x:row>
    <x:row r="119">
      <x:c r="A119" s="100" t="str">
        <x:v>Requests</x:v>
      </x:c>
      <x:c r="B119" s="100" t="str">
        <x:v>negative_hit_rate</x:v>
      </x:c>
      <x:c r="C119" s="100" t="str">
        <x:v>Derived</x:v>
      </x:c>
      <x:c r="D119" s="100" t="str">
        <x:v>Recommended</x:v>
      </x:c>
      <x:c r="E119" s="100" t="str">
        <x:v>number</x:v>
      </x:c>
      <x:c r="F119" s="100" t="str">
        <x:v>ratio</x:v>
      </x:c>
      <x:c r="G119" s="100" t="str">
        <x:v>派生：负收益命中Token/逻辑命中Token。</x:v>
      </x:c>
      <x:c r="H119" s="100" t="str"/>
      <x:c r="I119" s="100" t="str">
        <x:v>Internal</x:v>
      </x:c>
      <x:c r="J119" s="100" t="str">
        <x:v>Inference/cache telemetry</x:v>
      </x:c>
      <x:c r="K119" s="100" t="str"/>
    </x:row>
    <x:row r="120">
      <x:c r="A120" s="100" t="str">
        <x:v>Requests</x:v>
      </x:c>
      <x:c r="B120" s="100" t="str">
        <x:v>ttft_gain</x:v>
      </x:c>
      <x:c r="C120" s="100" t="str">
        <x:v>Derived</x:v>
      </x:c>
      <x:c r="D120" s="100" t="str">
        <x:v>Recommended</x:v>
      </x:c>
      <x:c r="E120" s="100" t="str">
        <x:v>text</x:v>
      </x:c>
      <x:c r="F120" s="100" t="str">
        <x:v>ratio</x:v>
      </x:c>
      <x:c r="G120" s="100" t="str">
        <x:v>派生：(基线TTFT-缓存TTFT)/基线TTFT。</x:v>
      </x:c>
      <x:c r="H120" s="100" t="str"/>
      <x:c r="I120" s="100" t="str">
        <x:v>Internal</x:v>
      </x:c>
      <x:c r="J120" s="100" t="str">
        <x:v>Inference/cache telemetry</x:v>
      </x:c>
      <x:c r="K120" s="100" t="str"/>
    </x:row>
    <x:row r="121">
      <x:c r="A121" s="100" t="str">
        <x:v>Requests</x:v>
      </x:c>
      <x:c r="B121" s="100" t="str">
        <x:v>cost_ratio</x:v>
      </x:c>
      <x:c r="C121" s="100" t="str">
        <x:v>Resource/cost</x:v>
      </x:c>
      <x:c r="D121" s="100" t="str">
        <x:v>Recommended</x:v>
      </x:c>
      <x:c r="E121" s="100" t="str">
        <x:v>number</x:v>
      </x:c>
      <x:c r="F121" s="100" t="str">
        <x:v>ratio</x:v>
      </x:c>
      <x:c r="G121" s="100" t="str">
        <x:v>派生：缓存系统成本/无缓存基线成本。</x:v>
      </x:c>
      <x:c r="H121" s="100" t="str"/>
      <x:c r="I121" s="100" t="str">
        <x:v>Internal</x:v>
      </x:c>
      <x:c r="J121" s="100" t="str">
        <x:v>Inference/cache telemetry</x:v>
      </x:c>
      <x:c r="K121" s="100" t="str"/>
    </x:row>
    <x:row r="122">
      <x:c r="A122" s="100" t="str">
        <x:v>Requests</x:v>
      </x:c>
      <x:c r="B122" s="100" t="str">
        <x:v>token_accounting_check</x:v>
      </x:c>
      <x:c r="C122" s="100" t="str">
        <x:v>Token accounting</x:v>
      </x:c>
      <x:c r="D122" s="100" t="str">
        <x:v>Recommended</x:v>
      </x:c>
      <x:c r="E122" s="100" t="str">
        <x:v>text</x:v>
      </x:c>
      <x:c r="F122" s="100" t="str"/>
      <x:c r="G122" s="100" t="str">
        <x:v>派生：各层命中+未命中是否等于Prompt Token。</x:v>
      </x:c>
      <x:c r="H122" s="100" t="str"/>
      <x:c r="I122" s="100" t="str">
        <x:v>Internal</x:v>
      </x:c>
      <x:c r="J122" s="100" t="str">
        <x:v>Inference/cache telemetry</x:v>
      </x:c>
      <x:c r="K122" s="100" t="str"/>
    </x:row>
    <x:row r="123">
      <x:c r="A123" s="100" t="str">
        <x:v>Requests</x:v>
      </x:c>
      <x:c r="B123" s="100" t="str">
        <x:v>effective_consistency_check</x:v>
      </x:c>
      <x:c r="C123" s="100" t="str">
        <x:v>Derived</x:v>
      </x:c>
      <x:c r="D123" s="100" t="str">
        <x:v>Recommended</x:v>
      </x:c>
      <x:c r="E123" s="100" t="str">
        <x:v>text</x:v>
      </x:c>
      <x:c r="F123" s="100" t="str"/>
      <x:c r="G123" s="100" t="str">
        <x:v>派生：有效与负收益命中是否不超过逻辑命中。</x:v>
      </x:c>
      <x:c r="H123" s="100" t="str"/>
      <x:c r="I123" s="100" t="str">
        <x:v>Internal</x:v>
      </x:c>
      <x:c r="J123" s="100" t="str">
        <x:v>Inference/cache telemetry</x:v>
      </x:c>
      <x:c r="K123" s="100" t="str"/>
    </x:row>
    <x:row r="124">
      <x:c r="A124" s="100" t="str">
        <x:v>PromptSegments</x:v>
      </x:c>
      <x:c r="B124" s="100" t="str">
        <x:v>record_kind</x:v>
      </x:c>
      <x:c r="C124" s="100" t="str">
        <x:v>Identity</x:v>
      </x:c>
      <x:c r="D124" s="100" t="str">
        <x:v>Required</x:v>
      </x:c>
      <x:c r="E124" s="100" t="str">
        <x:v>text</x:v>
      </x:c>
      <x:c r="F124" s="100" t="str"/>
      <x:c r="G124" s="100" t="str">
        <x:v>DATA进入正式统计；EXAMPLE仅用于说明字段与公式。</x:v>
      </x:c>
      <x:c r="H124" s="100" t="str">
        <x:v>DATA | EXAMPLE</x:v>
      </x:c>
      <x:c r="I124" s="100" t="str">
        <x:v>Internal</x:v>
      </x:c>
      <x:c r="J124" s="100" t="str">
        <x:v>Context builder/tokenizer</x:v>
      </x:c>
      <x:c r="K124" s="100" t="str">
        <x:v>EXAMPLE</x:v>
      </x:c>
    </x:row>
    <x:row r="125">
      <x:c r="A125" s="100" t="str">
        <x:v>PromptSegments</x:v>
      </x:c>
      <x:c r="B125" s="100" t="str">
        <x:v>schema_version</x:v>
      </x:c>
      <x:c r="C125" s="100" t="str">
        <x:v>Identity</x:v>
      </x:c>
      <x:c r="D125" s="100" t="str">
        <x:v>Required</x:v>
      </x:c>
      <x:c r="E125" s="100" t="str">
        <x:v>text</x:v>
      </x:c>
      <x:c r="F125" s="100" t="str"/>
      <x:c r="G125" s="100" t="str">
        <x:v>当前数据表记录结构版本。</x:v>
      </x:c>
      <x:c r="H125" s="100" t="str"/>
      <x:c r="I125" s="100" t="str">
        <x:v>Internal</x:v>
      </x:c>
      <x:c r="J125" s="100" t="str">
        <x:v>Context builder/tokenizer</x:v>
      </x:c>
      <x:c r="K125" s="100" t="str">
        <x:v>1.0</x:v>
      </x:c>
    </x:row>
    <x:row r="126">
      <x:c r="A126" s="100" t="str">
        <x:v>PromptSegments</x:v>
      </x:c>
      <x:c r="B126" s="100" t="str">
        <x:v>trace_id</x:v>
      </x:c>
      <x:c r="C126" s="100" t="str">
        <x:v>Identity</x:v>
      </x:c>
      <x:c r="D126" s="100" t="str">
        <x:v>Required</x:v>
      </x:c>
      <x:c r="E126" s="100" t="str">
        <x:v>text</x:v>
      </x:c>
      <x:c r="F126" s="100" t="str"/>
      <x:c r="G126" s="100" t="str">
        <x:v>一次完整Trace导出/采集批次的唯一标识。</x:v>
      </x:c>
      <x:c r="H126" s="100" t="str"/>
      <x:c r="I126" s="100" t="str">
        <x:v>Internal</x:v>
      </x:c>
      <x:c r="J126" s="100" t="str">
        <x:v>Context builder/tokenizer</x:v>
      </x:c>
      <x:c r="K126" s="100" t="str">
        <x:v>ex_trace_001</x:v>
      </x:c>
    </x:row>
    <x:row r="127">
      <x:c r="A127" s="100" t="str">
        <x:v>PromptSegments</x:v>
      </x:c>
      <x:c r="B127" s="100" t="str">
        <x:v>request_id</x:v>
      </x:c>
      <x:c r="C127" s="100" t="str">
        <x:v>Identity</x:v>
      </x:c>
      <x:c r="D127" s="100" t="str">
        <x:v>Required</x:v>
      </x:c>
      <x:c r="E127" s="100" t="str">
        <x:v>text</x:v>
      </x:c>
      <x:c r="F127" s="100" t="str"/>
      <x:c r="G127" s="100" t="str">
        <x:v>一次LLM推理调用的唯一标识。</x:v>
      </x:c>
      <x:c r="H127" s="100" t="str"/>
      <x:c r="I127" s="100" t="str">
        <x:v>Internal</x:v>
      </x:c>
      <x:c r="J127" s="100" t="str">
        <x:v>Context builder/tokenizer</x:v>
      </x:c>
      <x:c r="K127" s="100" t="str">
        <x:v>ex_req_dram_002</x:v>
      </x:c>
    </x:row>
    <x:row r="128">
      <x:c r="A128" s="100" t="str">
        <x:v>PromptSegments</x:v>
      </x:c>
      <x:c r="B128" s="100" t="str">
        <x:v>segment_id</x:v>
      </x:c>
      <x:c r="C128" s="100" t="str">
        <x:v>Identity</x:v>
      </x:c>
      <x:c r="D128" s="100" t="str">
        <x:v>Required</x:v>
      </x:c>
      <x:c r="E128" s="100" t="str">
        <x:v>text</x:v>
      </x:c>
      <x:c r="F128" s="100" t="str"/>
      <x:c r="G128" s="100" t="str">
        <x:v>Prompt片段唯一标识。</x:v>
      </x:c>
      <x:c r="H128" s="100" t="str"/>
      <x:c r="I128" s="100" t="str">
        <x:v>Internal</x:v>
      </x:c>
      <x:c r="J128" s="100" t="str">
        <x:v>Context builder/tokenizer</x:v>
      </x:c>
      <x:c r="K128" s="100" t="str">
        <x:v>ex_seg_001</x:v>
      </x:c>
    </x:row>
    <x:row r="129">
      <x:c r="A129" s="100" t="str">
        <x:v>PromptSegments</x:v>
      </x:c>
      <x:c r="B129" s="100" t="str">
        <x:v>segment_order</x:v>
      </x:c>
      <x:c r="C129" s="100" t="str">
        <x:v>Token boundary</x:v>
      </x:c>
      <x:c r="D129" s="100" t="str">
        <x:v>Required</x:v>
      </x:c>
      <x:c r="E129" s="100" t="str">
        <x:v>integer</x:v>
      </x:c>
      <x:c r="F129" s="100" t="str"/>
      <x:c r="G129" s="100" t="str">
        <x:v>片段在Prompt中的顺序。</x:v>
      </x:c>
      <x:c r="H129" s="100" t="str"/>
      <x:c r="I129" s="100" t="str">
        <x:v>Internal</x:v>
      </x:c>
      <x:c r="J129" s="100" t="str">
        <x:v>Context builder/tokenizer</x:v>
      </x:c>
      <x:c r="K129" s="100" t="str">
        <x:v>1</x:v>
      </x:c>
    </x:row>
    <x:row r="130">
      <x:c r="A130" s="100" t="str">
        <x:v>PromptSegments</x:v>
      </x:c>
      <x:c r="B130" s="100" t="str">
        <x:v>component_type</x:v>
      </x:c>
      <x:c r="C130" s="100" t="str">
        <x:v>Content/version</x:v>
      </x:c>
      <x:c r="D130" s="100" t="str">
        <x:v>Required</x:v>
      </x:c>
      <x:c r="E130" s="100" t="str">
        <x:v>text</x:v>
      </x:c>
      <x:c r="F130" s="100" t="str"/>
      <x:c r="G130" s="100" t="str">
        <x:v>系统、工具、仓库规则、文件、历史等组件类型。</x:v>
      </x:c>
      <x:c r="H130" s="100" t="str">
        <x:v>system | tool_schema | agent_rule | repo_rule | file | history | tool_result | current_task | diff | other</x:v>
      </x:c>
      <x:c r="I130" s="100" t="str">
        <x:v>Internal</x:v>
      </x:c>
      <x:c r="J130" s="100" t="str">
        <x:v>Context builder/tokenizer</x:v>
      </x:c>
      <x:c r="K130" s="100" t="str">
        <x:v>system</x:v>
      </x:c>
    </x:row>
    <x:row r="131">
      <x:c r="A131" s="100" t="str">
        <x:v>PromptSegments</x:v>
      </x:c>
      <x:c r="B131" s="100" t="str">
        <x:v>stable_scope</x:v>
      </x:c>
      <x:c r="C131" s="100" t="str">
        <x:v>Content/version</x:v>
      </x:c>
      <x:c r="D131" s="100" t="str">
        <x:v>Recommended</x:v>
      </x:c>
      <x:c r="E131" s="100" t="str">
        <x:v>text</x:v>
      </x:c>
      <x:c r="F131" s="100" t="str"/>
      <x:c r="G131" s="100" t="str">
        <x:v>该片段预计稳定的最大范围。</x:v>
      </x:c>
      <x:c r="H131" s="100" t="str">
        <x:v>platform | agent | repo | session | task | request</x:v>
      </x:c>
      <x:c r="I131" s="100" t="str">
        <x:v>Internal</x:v>
      </x:c>
      <x:c r="J131" s="100" t="str">
        <x:v>Context builder/tokenizer</x:v>
      </x:c>
      <x:c r="K131" s="100" t="str">
        <x:v>platform</x:v>
      </x:c>
    </x:row>
    <x:row r="132">
      <x:c r="A132" s="100" t="str">
        <x:v>PromptSegments</x:v>
      </x:c>
      <x:c r="B132" s="100" t="str">
        <x:v>sensitivity_class</x:v>
      </x:c>
      <x:c r="C132" s="100" t="str">
        <x:v>Privacy</x:v>
      </x:c>
      <x:c r="D132" s="100" t="str">
        <x:v>Required</x:v>
      </x:c>
      <x:c r="E132" s="100" t="str">
        <x:v>text</x:v>
      </x:c>
      <x:c r="F132" s="100" t="str"/>
      <x:c r="G132" s="100" t="str">
        <x:v>内容敏感等级。</x:v>
      </x:c>
      <x:c r="H132" s="100" t="str">
        <x:v>public | internal | confidential | restricted</x:v>
      </x:c>
      <x:c r="I132" s="100" t="str">
        <x:v>Internal</x:v>
      </x:c>
      <x:c r="J132" s="100" t="str">
        <x:v>Context builder/tokenizer</x:v>
      </x:c>
      <x:c r="K132" s="100" t="str">
        <x:v>internal</x:v>
      </x:c>
    </x:row>
    <x:row r="133">
      <x:c r="A133" s="100" t="str">
        <x:v>PromptSegments</x:v>
      </x:c>
      <x:c r="B133" s="100" t="str">
        <x:v>source_ref_pseudonym</x:v>
      </x:c>
      <x:c r="C133" s="100" t="str">
        <x:v>Content/version</x:v>
      </x:c>
      <x:c r="D133" s="100" t="str">
        <x:v>Recommended</x:v>
      </x:c>
      <x:c r="E133" s="100" t="str">
        <x:v>text</x:v>
      </x:c>
      <x:c r="F133" s="100" t="str"/>
      <x:c r="G133" s="100" t="str">
        <x:v>假名化来源引用，例如路径哈希。</x:v>
      </x:c>
      <x:c r="H133" s="100" t="str"/>
      <x:c r="I133" s="100" t="str">
        <x:v>Restricted</x:v>
      </x:c>
      <x:c r="J133" s="100" t="str">
        <x:v>Context builder/tokenizer</x:v>
      </x:c>
      <x:c r="K133" s="100" t="str">
        <x:v>system:v1</x:v>
      </x:c>
    </x:row>
    <x:row r="134">
      <x:c r="A134" s="100" t="str">
        <x:v>PromptSegments</x:v>
      </x:c>
      <x:c r="B134" s="100" t="str">
        <x:v>content_version</x:v>
      </x:c>
      <x:c r="C134" s="100" t="str">
        <x:v>Content/version</x:v>
      </x:c>
      <x:c r="D134" s="100" t="str">
        <x:v>Recommended</x:v>
      </x:c>
      <x:c r="E134" s="100" t="str">
        <x:v>text</x:v>
      </x:c>
      <x:c r="F134" s="100" t="str"/>
      <x:c r="G134" s="100" t="str">
        <x:v>片段内容版本。</x:v>
      </x:c>
      <x:c r="H134" s="100" t="str"/>
      <x:c r="I134" s="100" t="str">
        <x:v>Internal</x:v>
      </x:c>
      <x:c r="J134" s="100" t="str">
        <x:v>Context builder/tokenizer</x:v>
      </x:c>
      <x:c r="K134" s="100" t="str">
        <x:v>v1</x:v>
      </x:c>
    </x:row>
    <x:row r="135">
      <x:c r="A135" s="100" t="str">
        <x:v>PromptSegments</x:v>
      </x:c>
      <x:c r="B135" s="100" t="str">
        <x:v>content_hash_salted</x:v>
      </x:c>
      <x:c r="C135" s="100" t="str">
        <x:v>Privacy</x:v>
      </x:c>
      <x:c r="D135" s="100" t="str">
        <x:v>Recommended</x:v>
      </x:c>
      <x:c r="E135" s="100" t="str">
        <x:v>text</x:v>
      </x:c>
      <x:c r="F135" s="100" t="str"/>
      <x:c r="G135" s="100" t="str">
        <x:v>按安全域加盐的内容哈希。</x:v>
      </x:c>
      <x:c r="H135" s="100" t="str"/>
      <x:c r="I135" s="100" t="str">
        <x:v>Restricted</x:v>
      </x:c>
      <x:c r="J135" s="100" t="str">
        <x:v>Context builder/tokenizer</x:v>
      </x:c>
      <x:c r="K135" s="100" t="str">
        <x:v>sha256:EXAMPLE_SEG_1</x:v>
      </x:c>
    </x:row>
    <x:row r="136">
      <x:c r="A136" s="100" t="str">
        <x:v>PromptSegments</x:v>
      </x:c>
      <x:c r="B136" s="100" t="str">
        <x:v>token_ids_ref</x:v>
      </x:c>
      <x:c r="C136" s="100" t="str">
        <x:v>Token boundary</x:v>
      </x:c>
      <x:c r="D136" s="100" t="str">
        <x:v>Conditional</x:v>
      </x:c>
      <x:c r="E136" s="100" t="str">
        <x:v>text</x:v>
      </x:c>
      <x:c r="F136" s="100" t="str"/>
      <x:c r="G136" s="100" t="str">
        <x:v>受控Token ID序列引用；不得直接嵌入普通工作簿。</x:v>
      </x:c>
      <x:c r="H136" s="100" t="str"/>
      <x:c r="I136" s="100" t="str">
        <x:v>Restricted</x:v>
      </x:c>
      <x:c r="J136" s="100" t="str">
        <x:v>Context builder/tokenizer</x:v>
      </x:c>
      <x:c r="K136" s="100" t="str">
        <x:v>secure://example/tokens/1</x:v>
      </x:c>
    </x:row>
    <x:row r="137">
      <x:c r="A137" s="100" t="str">
        <x:v>PromptSegments</x:v>
      </x:c>
      <x:c r="B137" s="100" t="str">
        <x:v>raw_content_ref</x:v>
      </x:c>
      <x:c r="C137" s="100" t="str">
        <x:v>Privacy</x:v>
      </x:c>
      <x:c r="D137" s="100" t="str">
        <x:v>Conditional</x:v>
      </x:c>
      <x:c r="E137" s="100" t="str">
        <x:v>text</x:v>
      </x:c>
      <x:c r="F137" s="100" t="str"/>
      <x:c r="G137" s="100" t="str">
        <x:v>隔离存储中的原始内容引用。</x:v>
      </x:c>
      <x:c r="H137" s="100" t="str"/>
      <x:c r="I137" s="100" t="str">
        <x:v>Restricted</x:v>
      </x:c>
      <x:c r="J137" s="100" t="str">
        <x:v>Context builder/tokenizer</x:v>
      </x:c>
      <x:c r="K137" s="100" t="str"/>
    </x:row>
    <x:row r="138">
      <x:c r="A138" s="100" t="str">
        <x:v>PromptSegments</x:v>
      </x:c>
      <x:c r="B138" s="100" t="str">
        <x:v>token_start_inclusive</x:v>
      </x:c>
      <x:c r="C138" s="100" t="str">
        <x:v>Token boundary</x:v>
      </x:c>
      <x:c r="D138" s="100" t="str">
        <x:v>Required</x:v>
      </x:c>
      <x:c r="E138" s="100" t="str">
        <x:v>integer</x:v>
      </x:c>
      <x:c r="F138" s="100" t="str"/>
      <x:c r="G138" s="100" t="str">
        <x:v>片段Token起始位置（含）。</x:v>
      </x:c>
      <x:c r="H138" s="100" t="str"/>
      <x:c r="I138" s="100" t="str">
        <x:v>Internal</x:v>
      </x:c>
      <x:c r="J138" s="100" t="str">
        <x:v>Context builder/tokenizer</x:v>
      </x:c>
      <x:c r="K138" s="100" t="str">
        <x:v>0</x:v>
      </x:c>
    </x:row>
    <x:row r="139">
      <x:c r="A139" s="100" t="str">
        <x:v>PromptSegments</x:v>
      </x:c>
      <x:c r="B139" s="100" t="str">
        <x:v>token_end_exclusive</x:v>
      </x:c>
      <x:c r="C139" s="100" t="str">
        <x:v>Token boundary</x:v>
      </x:c>
      <x:c r="D139" s="100" t="str">
        <x:v>Required</x:v>
      </x:c>
      <x:c r="E139" s="100" t="str">
        <x:v>integer</x:v>
      </x:c>
      <x:c r="F139" s="100" t="str"/>
      <x:c r="G139" s="100" t="str">
        <x:v>片段Token结束位置（不含）。</x:v>
      </x:c>
      <x:c r="H139" s="100" t="str"/>
      <x:c r="I139" s="100" t="str">
        <x:v>Internal</x:v>
      </x:c>
      <x:c r="J139" s="100" t="str">
        <x:v>Context builder/tokenizer</x:v>
      </x:c>
      <x:c r="K139" s="100" t="str">
        <x:v>800</x:v>
      </x:c>
    </x:row>
    <x:row r="140">
      <x:c r="A140" s="100" t="str">
        <x:v>PromptSegments</x:v>
      </x:c>
      <x:c r="B140" s="100" t="str">
        <x:v>token_count</x:v>
      </x:c>
      <x:c r="C140" s="100" t="str">
        <x:v>Token boundary</x:v>
      </x:c>
      <x:c r="D140" s="100" t="str">
        <x:v>Recommended</x:v>
      </x:c>
      <x:c r="E140" s="100" t="str">
        <x:v>integer</x:v>
      </x:c>
      <x:c r="F140" s="100" t="str">
        <x:v>token</x:v>
      </x:c>
      <x:c r="G140" s="100" t="str">
        <x:v>派生：token_end_exclusive-token_start_inclusive。</x:v>
      </x:c>
      <x:c r="H140" s="100" t="str"/>
      <x:c r="I140" s="100" t="str">
        <x:v>Internal</x:v>
      </x:c>
      <x:c r="J140" s="100" t="str">
        <x:v>Context builder/tokenizer</x:v>
      </x:c>
      <x:c r="K140" s="100" t="str"/>
    </x:row>
    <x:row r="141">
      <x:c r="A141" s="100" t="str">
        <x:v>PromptSegments</x:v>
      </x:c>
      <x:c r="B141" s="100" t="str">
        <x:v>is_prefix_contiguous</x:v>
      </x:c>
      <x:c r="C141" s="100" t="str">
        <x:v>Other</x:v>
      </x:c>
      <x:c r="D141" s="100" t="str">
        <x:v>Recommended</x:v>
      </x:c>
      <x:c r="E141" s="100" t="str">
        <x:v>text</x:v>
      </x:c>
      <x:c r="F141" s="100" t="str"/>
      <x:c r="G141" s="100" t="str">
        <x:v>片段是否处于从0开始连续前缀中。</x:v>
      </x:c>
      <x:c r="H141" s="100" t="str">
        <x:v>0 | 1</x:v>
      </x:c>
      <x:c r="I141" s="100" t="str">
        <x:v>Confidential</x:v>
      </x:c>
      <x:c r="J141" s="100" t="str">
        <x:v>Context builder/tokenizer</x:v>
      </x:c>
      <x:c r="K141" s="100" t="str">
        <x:v>1</x:v>
      </x:c>
    </x:row>
    <x:row r="142">
      <x:c r="A142" s="100" t="str">
        <x:v>PromptSegments</x:v>
      </x:c>
      <x:c r="B142" s="100" t="str">
        <x:v>canonical_order_key</x:v>
      </x:c>
      <x:c r="C142" s="100" t="str">
        <x:v>Content/version</x:v>
      </x:c>
      <x:c r="D142" s="100" t="str">
        <x:v>Recommended</x:v>
      </x:c>
      <x:c r="E142" s="100" t="str">
        <x:v>text</x:v>
      </x:c>
      <x:c r="F142" s="100" t="str"/>
      <x:c r="G142" s="100" t="str">
        <x:v>布局规范化使用的稳定排序键。</x:v>
      </x:c>
      <x:c r="H142" s="100" t="str"/>
      <x:c r="I142" s="100" t="str">
        <x:v>Internal</x:v>
      </x:c>
      <x:c r="J142" s="100" t="str">
        <x:v>Context builder/tokenizer</x:v>
      </x:c>
      <x:c r="K142" s="100" t="str">
        <x:v>010_system</x:v>
      </x:c>
    </x:row>
    <x:row r="143">
      <x:c r="A143" s="100" t="str">
        <x:v>PromptSegments</x:v>
      </x:c>
      <x:c r="B143" s="100" t="str">
        <x:v>changed_since_prior</x:v>
      </x:c>
      <x:c r="C143" s="100" t="str">
        <x:v>Content/version</x:v>
      </x:c>
      <x:c r="D143" s="100" t="str">
        <x:v>Recommended</x:v>
      </x:c>
      <x:c r="E143" s="100" t="str">
        <x:v>text</x:v>
      </x:c>
      <x:c r="F143" s="100" t="str"/>
      <x:c r="G143" s="100" t="str">
        <x:v>相对prior_segment_id是否变化。</x:v>
      </x:c>
      <x:c r="H143" s="100" t="str">
        <x:v>0 | 1</x:v>
      </x:c>
      <x:c r="I143" s="100" t="str">
        <x:v>Internal</x:v>
      </x:c>
      <x:c r="J143" s="100" t="str">
        <x:v>Context builder/tokenizer</x:v>
      </x:c>
      <x:c r="K143" s="100" t="str">
        <x:v>0</x:v>
      </x:c>
    </x:row>
    <x:row r="144">
      <x:c r="A144" s="100" t="str">
        <x:v>PromptSegments</x:v>
      </x:c>
      <x:c r="B144" s="100" t="str">
        <x:v>prior_segment_id</x:v>
      </x:c>
      <x:c r="C144" s="100" t="str">
        <x:v>Content/version</x:v>
      </x:c>
      <x:c r="D144" s="100" t="str">
        <x:v>Conditional</x:v>
      </x:c>
      <x:c r="E144" s="100" t="str">
        <x:v>text</x:v>
      </x:c>
      <x:c r="F144" s="100" t="str"/>
      <x:c r="G144" s="100" t="str">
        <x:v>可比的上一片段标识。</x:v>
      </x:c>
      <x:c r="H144" s="100" t="str"/>
      <x:c r="I144" s="100" t="str">
        <x:v>Internal</x:v>
      </x:c>
      <x:c r="J144" s="100" t="str">
        <x:v>Context builder/tokenizer</x:v>
      </x:c>
      <x:c r="K144" s="100" t="str"/>
    </x:row>
    <x:row r="145">
      <x:c r="A145" s="100" t="str">
        <x:v>PromptSegments</x:v>
      </x:c>
      <x:c r="B145" s="100" t="str">
        <x:v>prefix_dependency_hash</x:v>
      </x:c>
      <x:c r="C145" s="100" t="str">
        <x:v>Compatibility</x:v>
      </x:c>
      <x:c r="D145" s="100" t="str">
        <x:v>Recommended</x:v>
      </x:c>
      <x:c r="E145" s="100" t="str">
        <x:v>text</x:v>
      </x:c>
      <x:c r="F145" s="100" t="str"/>
      <x:c r="G145" s="100" t="str">
        <x:v>包含前序依赖的块/片段哈希。</x:v>
      </x:c>
      <x:c r="H145" s="100" t="str"/>
      <x:c r="I145" s="100" t="str">
        <x:v>Restricted</x:v>
      </x:c>
      <x:c r="J145" s="100" t="str">
        <x:v>Context builder/tokenizer</x:v>
      </x:c>
      <x:c r="K145" s="100" t="str">
        <x:v>sha256:EXAMPLE_DEP_1</x:v>
      </x:c>
    </x:row>
    <x:row r="146">
      <x:c r="A146" s="100" t="str">
        <x:v>PromptSegments</x:v>
      </x:c>
      <x:c r="B146" s="100" t="str">
        <x:v>compatibility_domain_id</x:v>
      </x:c>
      <x:c r="C146" s="100" t="str">
        <x:v>Compatibility</x:v>
      </x:c>
      <x:c r="D146" s="100" t="str">
        <x:v>Required</x:v>
      </x:c>
      <x:c r="E146" s="100" t="str">
        <x:v>text</x:v>
      </x:c>
      <x:c r="F146" s="100" t="str"/>
      <x:c r="G146" s="100" t="str">
        <x:v>模型、Tokenizer、位置、布局、精度和安全域的组合指纹。</x:v>
      </x:c>
      <x:c r="H146" s="100" t="str"/>
      <x:c r="I146" s="100" t="str">
        <x:v>Internal</x:v>
      </x:c>
      <x:c r="J146" s="100" t="str">
        <x:v>Context builder/tokenizer</x:v>
      </x:c>
      <x:c r="K146" s="100" t="str">
        <x:v>compat_demo_v1</x:v>
      </x:c>
    </x:row>
    <x:row r="147">
      <x:c r="A147" s="100" t="str">
        <x:v>PromptSegments</x:v>
      </x:c>
      <x:c r="B147" s="100" t="str">
        <x:v>notes</x:v>
      </x:c>
      <x:c r="C147" s="100" t="str">
        <x:v>Other</x:v>
      </x:c>
      <x:c r="D147" s="100" t="str">
        <x:v>Conditional</x:v>
      </x:c>
      <x:c r="E147" s="100" t="str">
        <x:v>text</x:v>
      </x:c>
      <x:c r="F147" s="100" t="str"/>
      <x:c r="G147" s="100" t="str">
        <x:v>补充说明；不得放入未经批准的原始敏感内容。</x:v>
      </x:c>
      <x:c r="H147" s="100" t="str"/>
      <x:c r="I147" s="100" t="str">
        <x:v>Internal</x:v>
      </x:c>
      <x:c r="J147" s="100" t="str">
        <x:v>Context builder/tokenizer</x:v>
      </x:c>
      <x:c r="K147" s="100" t="str">
        <x:v>系统指令示例。</x:v>
      </x:c>
    </x:row>
    <x:row r="148">
      <x:c r="A148" s="100" t="str">
        <x:v>PromptSegments</x:v>
      </x:c>
      <x:c r="B148" s="100" t="str">
        <x:v>boundary_check</x:v>
      </x:c>
      <x:c r="C148" s="100" t="str">
        <x:v>Token boundary</x:v>
      </x:c>
      <x:c r="D148" s="100" t="str">
        <x:v>Recommended</x:v>
      </x:c>
      <x:c r="E148" s="100" t="str">
        <x:v>text</x:v>
      </x:c>
      <x:c r="F148" s="100" t="str"/>
      <x:c r="G148" s="100" t="str">
        <x:v>派生：片段边界是否有效。</x:v>
      </x:c>
      <x:c r="H148" s="100" t="str"/>
      <x:c r="I148" s="100" t="str">
        <x:v>Internal</x:v>
      </x:c>
      <x:c r="J148" s="100" t="str">
        <x:v>Context builder/tokenizer</x:v>
      </x:c>
      <x:c r="K148" s="100" t="str"/>
    </x:row>
    <x:row r="149">
      <x:c r="A149" s="100" t="str">
        <x:v>CacheEvents</x:v>
      </x:c>
      <x:c r="B149" s="100" t="str">
        <x:v>record_kind</x:v>
      </x:c>
      <x:c r="C149" s="100" t="str">
        <x:v>Identity</x:v>
      </x:c>
      <x:c r="D149" s="100" t="str">
        <x:v>Required</x:v>
      </x:c>
      <x:c r="E149" s="100" t="str">
        <x:v>text</x:v>
      </x:c>
      <x:c r="F149" s="100" t="str"/>
      <x:c r="G149" s="100" t="str">
        <x:v>DATA进入正式统计；EXAMPLE仅用于说明字段与公式。</x:v>
      </x:c>
      <x:c r="H149" s="100" t="str">
        <x:v>DATA | EXAMPLE</x:v>
      </x:c>
      <x:c r="I149" s="100" t="str">
        <x:v>Internal</x:v>
      </x:c>
      <x:c r="J149" s="100" t="str">
        <x:v>Cache layer</x:v>
      </x:c>
      <x:c r="K149" s="100" t="str">
        <x:v>EXAMPLE</x:v>
      </x:c>
    </x:row>
    <x:row r="150">
      <x:c r="A150" s="100" t="str">
        <x:v>CacheEvents</x:v>
      </x:c>
      <x:c r="B150" s="100" t="str">
        <x:v>schema_version</x:v>
      </x:c>
      <x:c r="C150" s="100" t="str">
        <x:v>Identity</x:v>
      </x:c>
      <x:c r="D150" s="100" t="str">
        <x:v>Required</x:v>
      </x:c>
      <x:c r="E150" s="100" t="str">
        <x:v>text</x:v>
      </x:c>
      <x:c r="F150" s="100" t="str"/>
      <x:c r="G150" s="100" t="str">
        <x:v>当前数据表记录结构版本。</x:v>
      </x:c>
      <x:c r="H150" s="100" t="str"/>
      <x:c r="I150" s="100" t="str">
        <x:v>Internal</x:v>
      </x:c>
      <x:c r="J150" s="100" t="str">
        <x:v>Cache layer</x:v>
      </x:c>
      <x:c r="K150" s="100" t="str">
        <x:v>1.0</x:v>
      </x:c>
    </x:row>
    <x:row r="151">
      <x:c r="A151" s="100" t="str">
        <x:v>CacheEvents</x:v>
      </x:c>
      <x:c r="B151" s="100" t="str">
        <x:v>trace_id</x:v>
      </x:c>
      <x:c r="C151" s="100" t="str">
        <x:v>Identity</x:v>
      </x:c>
      <x:c r="D151" s="100" t="str">
        <x:v>Required</x:v>
      </x:c>
      <x:c r="E151" s="100" t="str">
        <x:v>text</x:v>
      </x:c>
      <x:c r="F151" s="100" t="str"/>
      <x:c r="G151" s="100" t="str">
        <x:v>一次完整Trace导出/采集批次的唯一标识。</x:v>
      </x:c>
      <x:c r="H151" s="100" t="str"/>
      <x:c r="I151" s="100" t="str">
        <x:v>Internal</x:v>
      </x:c>
      <x:c r="J151" s="100" t="str">
        <x:v>Cache layer</x:v>
      </x:c>
      <x:c r="K151" s="100" t="str">
        <x:v>ex_trace_001</x:v>
      </x:c>
    </x:row>
    <x:row r="152">
      <x:c r="A152" s="100" t="str">
        <x:v>CacheEvents</x:v>
      </x:c>
      <x:c r="B152" s="100" t="str">
        <x:v>request_id</x:v>
      </x:c>
      <x:c r="C152" s="100" t="str">
        <x:v>Identity</x:v>
      </x:c>
      <x:c r="D152" s="100" t="str">
        <x:v>Required</x:v>
      </x:c>
      <x:c r="E152" s="100" t="str">
        <x:v>text</x:v>
      </x:c>
      <x:c r="F152" s="100" t="str"/>
      <x:c r="G152" s="100" t="str">
        <x:v>一次LLM推理调用的唯一标识。</x:v>
      </x:c>
      <x:c r="H152" s="100" t="str"/>
      <x:c r="I152" s="100" t="str">
        <x:v>Internal</x:v>
      </x:c>
      <x:c r="J152" s="100" t="str">
        <x:v>Cache layer</x:v>
      </x:c>
      <x:c r="K152" s="100" t="str">
        <x:v>ex_req_dram_002</x:v>
      </x:c>
    </x:row>
    <x:row r="153">
      <x:c r="A153" s="100" t="str">
        <x:v>CacheEvents</x:v>
      </x:c>
      <x:c r="B153" s="100" t="str">
        <x:v>cache_event_id</x:v>
      </x:c>
      <x:c r="C153" s="100" t="str">
        <x:v>Identity</x:v>
      </x:c>
      <x:c r="D153" s="100" t="str">
        <x:v>Required</x:v>
      </x:c>
      <x:c r="E153" s="100" t="str">
        <x:v>text</x:v>
      </x:c>
      <x:c r="F153" s="100" t="str"/>
      <x:c r="G153" s="100" t="str">
        <x:v>缓存查找/读/写/预取/淘汰事件标识。</x:v>
      </x:c>
      <x:c r="H153" s="100" t="str"/>
      <x:c r="I153" s="100" t="str">
        <x:v>Internal</x:v>
      </x:c>
      <x:c r="J153" s="100" t="str">
        <x:v>Cache layer</x:v>
      </x:c>
      <x:c r="K153" s="100" t="str">
        <x:v>ex_cache_001</x:v>
      </x:c>
    </x:row>
    <x:row r="154">
      <x:c r="A154" s="100" t="str">
        <x:v>CacheEvents</x:v>
      </x:c>
      <x:c r="B154" s="100" t="str">
        <x:v>event_seq</x:v>
      </x:c>
      <x:c r="C154" s="100" t="str">
        <x:v>Event</x:v>
      </x:c>
      <x:c r="D154" s="100" t="str">
        <x:v>Required</x:v>
      </x:c>
      <x:c r="E154" s="100" t="str">
        <x:v>integer</x:v>
      </x:c>
      <x:c r="F154" s="100" t="str"/>
      <x:c r="G154" s="100" t="str">
        <x:v>缓存事件在请求中的顺序。</x:v>
      </x:c>
      <x:c r="H154" s="100" t="str"/>
      <x:c r="I154" s="100" t="str">
        <x:v>Internal</x:v>
      </x:c>
      <x:c r="J154" s="100" t="str">
        <x:v>Cache layer</x:v>
      </x:c>
      <x:c r="K154" s="100" t="str">
        <x:v>1</x:v>
      </x:c>
    </x:row>
    <x:row r="155">
      <x:c r="A155" s="100" t="str">
        <x:v>CacheEvents</x:v>
      </x:c>
      <x:c r="B155" s="100" t="str">
        <x:v>timestamp_utc</x:v>
      </x:c>
      <x:c r="C155" s="100" t="str">
        <x:v>Event</x:v>
      </x:c>
      <x:c r="D155" s="100" t="str">
        <x:v>Required</x:v>
      </x:c>
      <x:c r="E155" s="100" t="str">
        <x:v>datetime</x:v>
      </x:c>
      <x:c r="F155" s="100" t="str">
        <x:v>UTC</x:v>
      </x:c>
      <x:c r="G155" s="100" t="str">
        <x:v>推理服务接受请求的UTC时间。</x:v>
      </x:c>
      <x:c r="H155" s="100" t="str"/>
      <x:c r="I155" s="100" t="str">
        <x:v>Internal</x:v>
      </x:c>
      <x:c r="J155" s="100" t="str">
        <x:v>Cache layer</x:v>
      </x:c>
      <x:c r="K155" s="100" t="str">
        <x:v>2026-08-27 09:06:00.010Z</x:v>
      </x:c>
    </x:row>
    <x:row r="156">
      <x:c r="A156" s="100" t="str">
        <x:v>CacheEvents</x:v>
      </x:c>
      <x:c r="B156" s="100" t="str">
        <x:v>operation</x:v>
      </x:c>
      <x:c r="C156" s="100" t="str">
        <x:v>Event</x:v>
      </x:c>
      <x:c r="D156" s="100" t="str">
        <x:v>Required</x:v>
      </x:c>
      <x:c r="E156" s="100" t="str">
        <x:v>text</x:v>
      </x:c>
      <x:c r="F156" s="100" t="str"/>
      <x:c r="G156" s="100" t="str">
        <x:v>缓存事件操作类型。</x:v>
      </x:c>
      <x:c r="H156" s="100" t="str">
        <x:v>lookup | read | write | prefetch | evict | bypass</x:v>
      </x:c>
      <x:c r="I156" s="100" t="str">
        <x:v>Internal</x:v>
      </x:c>
      <x:c r="J156" s="100" t="str">
        <x:v>Cache layer</x:v>
      </x:c>
      <x:c r="K156" s="100" t="str">
        <x:v>lookup</x:v>
      </x:c>
    </x:row>
    <x:row r="157">
      <x:c r="A157" s="100" t="str">
        <x:v>CacheEvents</x:v>
      </x:c>
      <x:c r="B157" s="100" t="str">
        <x:v>cache_tier</x:v>
      </x:c>
      <x:c r="C157" s="100" t="str">
        <x:v>Event</x:v>
      </x:c>
      <x:c r="D157" s="100" t="str">
        <x:v>Required</x:v>
      </x:c>
      <x:c r="E157" s="100" t="str">
        <x:v>text</x:v>
      </x:c>
      <x:c r="F157" s="100" t="str"/>
      <x:c r="G157" s="100" t="str">
        <x:v>HBM、DRAM、SSD、REMOTE或NONE。</x:v>
      </x:c>
      <x:c r="H157" s="100" t="str">
        <x:v>HBM | DRAM | SSD | REMOTE | NONE</x:v>
      </x:c>
      <x:c r="I157" s="100" t="str">
        <x:v>Internal</x:v>
      </x:c>
      <x:c r="J157" s="100" t="str">
        <x:v>Cache layer</x:v>
      </x:c>
      <x:c r="K157" s="100" t="str">
        <x:v>DRAM</x:v>
      </x:c>
    </x:row>
    <x:row r="158">
      <x:c r="A158" s="100" t="str">
        <x:v>CacheEvents</x:v>
      </x:c>
      <x:c r="B158" s="100" t="str">
        <x:v>hit_status</x:v>
      </x:c>
      <x:c r="C158" s="100" t="str">
        <x:v>Event</x:v>
      </x:c>
      <x:c r="D158" s="100" t="str">
        <x:v>Required</x:v>
      </x:c>
      <x:c r="E158" s="100" t="str">
        <x:v>text</x:v>
      </x:c>
      <x:c r="F158" s="100" t="str"/>
      <x:c r="G158" s="100" t="str">
        <x:v>事件命中状态。</x:v>
      </x:c>
      <x:c r="H158" s="100" t="str">
        <x:v>hit | miss | partial | bypass | not_applicable</x:v>
      </x:c>
      <x:c r="I158" s="100" t="str">
        <x:v>Internal</x:v>
      </x:c>
      <x:c r="J158" s="100" t="str">
        <x:v>Cache layer</x:v>
      </x:c>
      <x:c r="K158" s="100" t="str">
        <x:v>hit</x:v>
      </x:c>
    </x:row>
    <x:row r="159">
      <x:c r="A159" s="100" t="str">
        <x:v>CacheEvents</x:v>
      </x:c>
      <x:c r="B159" s="100" t="str">
        <x:v>cache_key_hash</x:v>
      </x:c>
      <x:c r="C159" s="100" t="str">
        <x:v>Event</x:v>
      </x:c>
      <x:c r="D159" s="100" t="str">
        <x:v>Recommended</x:v>
      </x:c>
      <x:c r="E159" s="100" t="str">
        <x:v>text</x:v>
      </x:c>
      <x:c r="F159" s="100" t="str"/>
      <x:c r="G159" s="100" t="str">
        <x:v>完整兼容域下的缓存键哈希。</x:v>
      </x:c>
      <x:c r="H159" s="100" t="str"/>
      <x:c r="I159" s="100" t="str">
        <x:v>Restricted</x:v>
      </x:c>
      <x:c r="J159" s="100" t="str">
        <x:v>Cache layer</x:v>
      </x:c>
      <x:c r="K159" s="100" t="str">
        <x:v>sha256:EXAMPLE_CACHE_1</x:v>
      </x:c>
    </x:row>
    <x:row r="160">
      <x:c r="A160" s="100" t="str">
        <x:v>CacheEvents</x:v>
      </x:c>
      <x:c r="B160" s="100" t="str">
        <x:v>block_id</x:v>
      </x:c>
      <x:c r="C160" s="100" t="str">
        <x:v>Event</x:v>
      </x:c>
      <x:c r="D160" s="100" t="str">
        <x:v>Recommended</x:v>
      </x:c>
      <x:c r="E160" s="100" t="str">
        <x:v>text</x:v>
      </x:c>
      <x:c r="F160" s="100" t="str"/>
      <x:c r="G160" s="100" t="str">
        <x:v>缓存块标识。</x:v>
      </x:c>
      <x:c r="H160" s="100" t="str"/>
      <x:c r="I160" s="100" t="str">
        <x:v>Internal</x:v>
      </x:c>
      <x:c r="J160" s="100" t="str">
        <x:v>Cache layer</x:v>
      </x:c>
      <x:c r="K160" s="100" t="str">
        <x:v>block_0_9999</x:v>
      </x:c>
    </x:row>
    <x:row r="161">
      <x:c r="A161" s="100" t="str">
        <x:v>CacheEvents</x:v>
      </x:c>
      <x:c r="B161" s="100" t="str">
        <x:v>token_start_inclusive</x:v>
      </x:c>
      <x:c r="C161" s="100" t="str">
        <x:v>Token range</x:v>
      </x:c>
      <x:c r="D161" s="100" t="str">
        <x:v>Required</x:v>
      </x:c>
      <x:c r="E161" s="100" t="str">
        <x:v>integer</x:v>
      </x:c>
      <x:c r="F161" s="100" t="str"/>
      <x:c r="G161" s="100" t="str">
        <x:v>片段Token起始位置（含）。</x:v>
      </x:c>
      <x:c r="H161" s="100" t="str"/>
      <x:c r="I161" s="100" t="str">
        <x:v>Internal</x:v>
      </x:c>
      <x:c r="J161" s="100" t="str">
        <x:v>Cache layer</x:v>
      </x:c>
      <x:c r="K161" s="100" t="str">
        <x:v>0</x:v>
      </x:c>
    </x:row>
    <x:row r="162">
      <x:c r="A162" s="100" t="str">
        <x:v>CacheEvents</x:v>
      </x:c>
      <x:c r="B162" s="100" t="str">
        <x:v>token_end_exclusive</x:v>
      </x:c>
      <x:c r="C162" s="100" t="str">
        <x:v>Token range</x:v>
      </x:c>
      <x:c r="D162" s="100" t="str">
        <x:v>Required</x:v>
      </x:c>
      <x:c r="E162" s="100" t="str">
        <x:v>integer</x:v>
      </x:c>
      <x:c r="F162" s="100" t="str"/>
      <x:c r="G162" s="100" t="str">
        <x:v>片段Token结束位置（不含）。</x:v>
      </x:c>
      <x:c r="H162" s="100" t="str"/>
      <x:c r="I162" s="100" t="str">
        <x:v>Internal</x:v>
      </x:c>
      <x:c r="J162" s="100" t="str">
        <x:v>Cache layer</x:v>
      </x:c>
      <x:c r="K162" s="100" t="str">
        <x:v>10000</x:v>
      </x:c>
    </x:row>
    <x:row r="163">
      <x:c r="A163" s="100" t="str">
        <x:v>CacheEvents</x:v>
      </x:c>
      <x:c r="B163" s="100" t="str">
        <x:v>token_count</x:v>
      </x:c>
      <x:c r="C163" s="100" t="str">
        <x:v>Token range</x:v>
      </x:c>
      <x:c r="D163" s="100" t="str">
        <x:v>Recommended</x:v>
      </x:c>
      <x:c r="E163" s="100" t="str">
        <x:v>integer</x:v>
      </x:c>
      <x:c r="F163" s="100" t="str">
        <x:v>token</x:v>
      </x:c>
      <x:c r="G163" s="100" t="str">
        <x:v>派生：token_end_exclusive-token_start_inclusive。</x:v>
      </x:c>
      <x:c r="H163" s="100" t="str"/>
      <x:c r="I163" s="100" t="str">
        <x:v>Internal</x:v>
      </x:c>
      <x:c r="J163" s="100" t="str">
        <x:v>Cache layer</x:v>
      </x:c>
      <x:c r="K163" s="100" t="str"/>
    </x:row>
    <x:row r="164">
      <x:c r="A164" s="100" t="str">
        <x:v>CacheEvents</x:v>
      </x:c>
      <x:c r="B164" s="100" t="str">
        <x:v>bytes_read</x:v>
      </x:c>
      <x:c r="C164" s="100" t="str">
        <x:v>I/O</x:v>
      </x:c>
      <x:c r="D164" s="100" t="str">
        <x:v>Recommended</x:v>
      </x:c>
      <x:c r="E164" s="100" t="str">
        <x:v>text</x:v>
      </x:c>
      <x:c r="F164" s="100" t="str"/>
      <x:c r="G164" s="100" t="str">
        <x:v>事件读取字节数。</x:v>
      </x:c>
      <x:c r="H164" s="100" t="str"/>
      <x:c r="I164" s="100" t="str">
        <x:v>Internal</x:v>
      </x:c>
      <x:c r="J164" s="100" t="str">
        <x:v>Cache layer</x:v>
      </x:c>
      <x:c r="K164" s="100" t="str">
        <x:v>0</x:v>
      </x:c>
    </x:row>
    <x:row r="165">
      <x:c r="A165" s="100" t="str">
        <x:v>CacheEvents</x:v>
      </x:c>
      <x:c r="B165" s="100" t="str">
        <x:v>bytes_written</x:v>
      </x:c>
      <x:c r="C165" s="100" t="str">
        <x:v>I/O</x:v>
      </x:c>
      <x:c r="D165" s="100" t="str">
        <x:v>Recommended</x:v>
      </x:c>
      <x:c r="E165" s="100" t="str">
        <x:v>text</x:v>
      </x:c>
      <x:c r="F165" s="100" t="str"/>
      <x:c r="G165" s="100" t="str">
        <x:v>事件写入字节数。</x:v>
      </x:c>
      <x:c r="H165" s="100" t="str"/>
      <x:c r="I165" s="100" t="str">
        <x:v>Internal</x:v>
      </x:c>
      <x:c r="J165" s="100" t="str">
        <x:v>Cache layer</x:v>
      </x:c>
      <x:c r="K165" s="100" t="str">
        <x:v>0</x:v>
      </x:c>
    </x:row>
    <x:row r="166">
      <x:c r="A166" s="100" t="str">
        <x:v>CacheEvents</x:v>
      </x:c>
      <x:c r="B166" s="100" t="str">
        <x:v>lookup_ms</x:v>
      </x:c>
      <x:c r="C166" s="100" t="str">
        <x:v>Latency</x:v>
      </x:c>
      <x:c r="D166" s="100" t="str">
        <x:v>Recommended</x:v>
      </x:c>
      <x:c r="E166" s="100" t="str">
        <x:v>number</x:v>
      </x:c>
      <x:c r="F166" s="100" t="str">
        <x:v>ms</x:v>
      </x:c>
      <x:c r="G166" s="100" t="str">
        <x:v>该事件查找耗时。</x:v>
      </x:c>
      <x:c r="H166" s="100" t="str"/>
      <x:c r="I166" s="100" t="str">
        <x:v>Internal</x:v>
      </x:c>
      <x:c r="J166" s="100" t="str">
        <x:v>Cache layer</x:v>
      </x:c>
      <x:c r="K166" s="100" t="str">
        <x:v>2</x:v>
      </x:c>
    </x:row>
    <x:row r="167">
      <x:c r="A167" s="100" t="str">
        <x:v>CacheEvents</x:v>
      </x:c>
      <x:c r="B167" s="100" t="str">
        <x:v>transfer_ms</x:v>
      </x:c>
      <x:c r="C167" s="100" t="str">
        <x:v>Latency</x:v>
      </x:c>
      <x:c r="D167" s="100" t="str">
        <x:v>Recommended</x:v>
      </x:c>
      <x:c r="E167" s="100" t="str">
        <x:v>number</x:v>
      </x:c>
      <x:c r="F167" s="100" t="str">
        <x:v>ms</x:v>
      </x:c>
      <x:c r="G167" s="100" t="str">
        <x:v>该事件传输耗时。</x:v>
      </x:c>
      <x:c r="H167" s="100" t="str"/>
      <x:c r="I167" s="100" t="str">
        <x:v>Internal</x:v>
      </x:c>
      <x:c r="J167" s="100" t="str">
        <x:v>Cache layer</x:v>
      </x:c>
      <x:c r="K167" s="100" t="str">
        <x:v>0</x:v>
      </x:c>
    </x:row>
    <x:row r="168">
      <x:c r="A168" s="100" t="str">
        <x:v>CacheEvents</x:v>
      </x:c>
      <x:c r="B168" s="100" t="str">
        <x:v>restore_ms</x:v>
      </x:c>
      <x:c r="C168" s="100" t="str">
        <x:v>Latency</x:v>
      </x:c>
      <x:c r="D168" s="100" t="str">
        <x:v>Recommended</x:v>
      </x:c>
      <x:c r="E168" s="100" t="str">
        <x:v>number</x:v>
      </x:c>
      <x:c r="F168" s="100" t="str">
        <x:v>ms</x:v>
      </x:c>
      <x:c r="G168" s="100" t="str">
        <x:v>该事件恢复耗时。</x:v>
      </x:c>
      <x:c r="H168" s="100" t="str"/>
      <x:c r="I168" s="100" t="str">
        <x:v>Internal</x:v>
      </x:c>
      <x:c r="J168" s="100" t="str">
        <x:v>Cache layer</x:v>
      </x:c>
      <x:c r="K168" s="100" t="str">
        <x:v>0</x:v>
      </x:c>
    </x:row>
    <x:row r="169">
      <x:c r="A169" s="100" t="str">
        <x:v>CacheEvents</x:v>
      </x:c>
      <x:c r="B169" s="100" t="str">
        <x:v>recompute_estimate_ms</x:v>
      </x:c>
      <x:c r="C169" s="100" t="str">
        <x:v>Latency</x:v>
      </x:c>
      <x:c r="D169" s="100" t="str">
        <x:v>Recommended</x:v>
      </x:c>
      <x:c r="E169" s="100" t="str">
        <x:v>number</x:v>
      </x:c>
      <x:c r="F169" s="100" t="str">
        <x:v>ms</x:v>
      </x:c>
      <x:c r="G169" s="100" t="str">
        <x:v>同Token块重算耗时估计/微基准值。</x:v>
      </x:c>
      <x:c r="H169" s="100" t="str"/>
      <x:c r="I169" s="100" t="str">
        <x:v>Internal</x:v>
      </x:c>
      <x:c r="J169" s="100" t="str">
        <x:v>Cache layer</x:v>
      </x:c>
      <x:c r="K169" s="100" t="str">
        <x:v>1200</x:v>
      </x:c>
    </x:row>
    <x:row r="170">
      <x:c r="A170" s="100" t="str">
        <x:v>CacheEvents</x:v>
      </x:c>
      <x:c r="B170" s="100" t="str">
        <x:v>effective_hit_flag</x:v>
      </x:c>
      <x:c r="C170" s="100" t="str">
        <x:v>Effectiveness</x:v>
      </x:c>
      <x:c r="D170" s="100" t="str">
        <x:v>Recommended</x:v>
      </x:c>
      <x:c r="E170" s="100" t="str">
        <x:v>integer</x:v>
      </x:c>
      <x:c r="F170" s="100" t="str"/>
      <x:c r="G170" s="100" t="str">
        <x:v>派生：命中且读/传/恢复总耗时小于重算。</x:v>
      </x:c>
      <x:c r="H170" s="100" t="str"/>
      <x:c r="I170" s="100" t="str">
        <x:v>Internal</x:v>
      </x:c>
      <x:c r="J170" s="100" t="str">
        <x:v>Cache layer</x:v>
      </x:c>
      <x:c r="K170" s="100" t="str"/>
    </x:row>
    <x:row r="171">
      <x:c r="A171" s="100" t="str">
        <x:v>CacheEvents</x:v>
      </x:c>
      <x:c r="B171" s="100" t="str">
        <x:v>negative_hit_flag</x:v>
      </x:c>
      <x:c r="C171" s="100" t="str">
        <x:v>Effectiveness</x:v>
      </x:c>
      <x:c r="D171" s="100" t="str">
        <x:v>Recommended</x:v>
      </x:c>
      <x:c r="E171" s="100" t="str">
        <x:v>integer</x:v>
      </x:c>
      <x:c r="F171" s="100" t="str"/>
      <x:c r="G171" s="100" t="str">
        <x:v>派生：命中但读/传/恢复总耗时不小于重算。</x:v>
      </x:c>
      <x:c r="H171" s="100" t="str"/>
      <x:c r="I171" s="100" t="str">
        <x:v>Internal</x:v>
      </x:c>
      <x:c r="J171" s="100" t="str">
        <x:v>Cache layer</x:v>
      </x:c>
      <x:c r="K171" s="100" t="str"/>
    </x:row>
    <x:row r="172">
      <x:c r="A172" s="100" t="str">
        <x:v>CacheEvents</x:v>
      </x:c>
      <x:c r="B172" s="100" t="str">
        <x:v>source_request_id</x:v>
      </x:c>
      <x:c r="C172" s="100" t="str">
        <x:v>Compatibility</x:v>
      </x:c>
      <x:c r="D172" s="100" t="str">
        <x:v>Recommended</x:v>
      </x:c>
      <x:c r="E172" s="100" t="str">
        <x:v>text</x:v>
      </x:c>
      <x:c r="F172" s="100" t="str"/>
      <x:c r="G172" s="100" t="str">
        <x:v>生成该缓存块的来源请求。</x:v>
      </x:c>
      <x:c r="H172" s="100" t="str"/>
      <x:c r="I172" s="100" t="str">
        <x:v>Internal</x:v>
      </x:c>
      <x:c r="J172" s="100" t="str">
        <x:v>Cache layer</x:v>
      </x:c>
      <x:c r="K172" s="100" t="str">
        <x:v>ex_req_cold_001</x:v>
      </x:c>
    </x:row>
    <x:row r="173">
      <x:c r="A173" s="100" t="str">
        <x:v>CacheEvents</x:v>
      </x:c>
      <x:c r="B173" s="100" t="str">
        <x:v>compatibility_domain_id</x:v>
      </x:c>
      <x:c r="C173" s="100" t="str">
        <x:v>Compatibility</x:v>
      </x:c>
      <x:c r="D173" s="100" t="str">
        <x:v>Required</x:v>
      </x:c>
      <x:c r="E173" s="100" t="str">
        <x:v>text</x:v>
      </x:c>
      <x:c r="F173" s="100" t="str"/>
      <x:c r="G173" s="100" t="str">
        <x:v>模型、Tokenizer、位置、布局、精度和安全域的组合指纹。</x:v>
      </x:c>
      <x:c r="H173" s="100" t="str"/>
      <x:c r="I173" s="100" t="str">
        <x:v>Internal</x:v>
      </x:c>
      <x:c r="J173" s="100" t="str">
        <x:v>Cache layer</x:v>
      </x:c>
      <x:c r="K173" s="100" t="str">
        <x:v>compat_demo_v1</x:v>
      </x:c>
    </x:row>
    <x:row r="174">
      <x:c r="A174" s="100" t="str">
        <x:v>CacheEvents</x:v>
      </x:c>
      <x:c r="B174" s="100" t="str">
        <x:v>prefetch_flag</x:v>
      </x:c>
      <x:c r="C174" s="100" t="str">
        <x:v>Other</x:v>
      </x:c>
      <x:c r="D174" s="100" t="str">
        <x:v>Recommended</x:v>
      </x:c>
      <x:c r="E174" s="100" t="str">
        <x:v>integer</x:v>
      </x:c>
      <x:c r="F174" s="100" t="str"/>
      <x:c r="G174" s="100" t="str">
        <x:v>是否由预取触发。</x:v>
      </x:c>
      <x:c r="H174" s="100" t="str">
        <x:v>0 | 1</x:v>
      </x:c>
      <x:c r="I174" s="100" t="str">
        <x:v>Confidential</x:v>
      </x:c>
      <x:c r="J174" s="100" t="str">
        <x:v>Cache layer</x:v>
      </x:c>
      <x:c r="K174" s="100" t="str">
        <x:v>0</x:v>
      </x:c>
    </x:row>
    <x:row r="175">
      <x:c r="A175" s="100" t="str">
        <x:v>CacheEvents</x:v>
      </x:c>
      <x:c r="B175" s="100" t="str">
        <x:v>eviction_reason</x:v>
      </x:c>
      <x:c r="C175" s="100" t="str">
        <x:v>Exception</x:v>
      </x:c>
      <x:c r="D175" s="100" t="str">
        <x:v>Conditional</x:v>
      </x:c>
      <x:c r="E175" s="100" t="str">
        <x:v>text</x:v>
      </x:c>
      <x:c r="F175" s="100" t="str"/>
      <x:c r="G175" s="100" t="str">
        <x:v>淘汰原因。</x:v>
      </x:c>
      <x:c r="H175" s="100" t="str"/>
      <x:c r="I175" s="100" t="str">
        <x:v>Internal</x:v>
      </x:c>
      <x:c r="J175" s="100" t="str">
        <x:v>Cache layer</x:v>
      </x:c>
      <x:c r="K175" s="100" t="str"/>
    </x:row>
    <x:row r="176">
      <x:c r="A176" s="100" t="str">
        <x:v>CacheEvents</x:v>
      </x:c>
      <x:c r="B176" s="100" t="str">
        <x:v>fallback_reason</x:v>
      </x:c>
      <x:c r="C176" s="100" t="str">
        <x:v>Exception</x:v>
      </x:c>
      <x:c r="D176" s="100" t="str">
        <x:v>Conditional</x:v>
      </x:c>
      <x:c r="E176" s="100" t="str">
        <x:v>text</x:v>
      </x:c>
      <x:c r="F176" s="100" t="str"/>
      <x:c r="G176" s="100" t="str">
        <x:v>绕过/回退原因。</x:v>
      </x:c>
      <x:c r="H176" s="100" t="str"/>
      <x:c r="I176" s="100" t="str">
        <x:v>Internal</x:v>
      </x:c>
      <x:c r="J176" s="100" t="str">
        <x:v>Cache layer</x:v>
      </x:c>
      <x:c r="K176" s="100" t="str"/>
    </x:row>
    <x:row r="177">
      <x:c r="A177" s="100" t="str">
        <x:v>CacheEvents</x:v>
      </x:c>
      <x:c r="B177" s="100" t="str">
        <x:v>error_type</x:v>
      </x:c>
      <x:c r="C177" s="100" t="str">
        <x:v>Exception</x:v>
      </x:c>
      <x:c r="D177" s="100" t="str">
        <x:v>Conditional</x:v>
      </x:c>
      <x:c r="E177" s="100" t="str">
        <x:v>text</x:v>
      </x:c>
      <x:c r="F177" s="100" t="str"/>
      <x:c r="G177" s="100" t="str">
        <x:v>预先登记的错误分类。</x:v>
      </x:c>
      <x:c r="H177" s="100" t="str"/>
      <x:c r="I177" s="100" t="str">
        <x:v>Internal</x:v>
      </x:c>
      <x:c r="J177" s="100" t="str">
        <x:v>Cache layer</x:v>
      </x:c>
      <x:c r="K177" s="100" t="str"/>
    </x:row>
    <x:row r="178">
      <x:c r="A178" s="100" t="str">
        <x:v>CacheEvents</x:v>
      </x:c>
      <x:c r="B178" s="100" t="str">
        <x:v>notes</x:v>
      </x:c>
      <x:c r="C178" s="100" t="str">
        <x:v>Other</x:v>
      </x:c>
      <x:c r="D178" s="100" t="str">
        <x:v>Conditional</x:v>
      </x:c>
      <x:c r="E178" s="100" t="str">
        <x:v>text</x:v>
      </x:c>
      <x:c r="F178" s="100" t="str"/>
      <x:c r="G178" s="100" t="str">
        <x:v>补充说明；不得放入未经批准的原始敏感内容。</x:v>
      </x:c>
      <x:c r="H178" s="100" t="str"/>
      <x:c r="I178" s="100" t="str">
        <x:v>Internal</x:v>
      </x:c>
      <x:c r="J178" s="100" t="str">
        <x:v>Cache layer</x:v>
      </x:c>
      <x:c r="K178" s="100" t="str">
        <x:v>查找事件；不要与read事件重复汇总Token。</x:v>
      </x:c>
    </x:row>
    <x:row r="179">
      <x:c r="A179" s="100" t="str">
        <x:v>AgentSteps</x:v>
      </x:c>
      <x:c r="B179" s="100" t="str">
        <x:v>record_kind</x:v>
      </x:c>
      <x:c r="C179" s="100" t="str">
        <x:v>Identity</x:v>
      </x:c>
      <x:c r="D179" s="100" t="str">
        <x:v>Required</x:v>
      </x:c>
      <x:c r="E179" s="100" t="str">
        <x:v>text</x:v>
      </x:c>
      <x:c r="F179" s="100" t="str"/>
      <x:c r="G179" s="100" t="str">
        <x:v>DATA进入正式统计；EXAMPLE仅用于说明字段与公式。</x:v>
      </x:c>
      <x:c r="H179" s="100" t="str">
        <x:v>DATA | EXAMPLE</x:v>
      </x:c>
      <x:c r="I179" s="100" t="str">
        <x:v>Internal</x:v>
      </x:c>
      <x:c r="J179" s="100" t="str">
        <x:v>Agent controller</x:v>
      </x:c>
      <x:c r="K179" s="100" t="str">
        <x:v>EXAMPLE</x:v>
      </x:c>
    </x:row>
    <x:row r="180">
      <x:c r="A180" s="100" t="str">
        <x:v>AgentSteps</x:v>
      </x:c>
      <x:c r="B180" s="100" t="str">
        <x:v>schema_version</x:v>
      </x:c>
      <x:c r="C180" s="100" t="str">
        <x:v>Identity</x:v>
      </x:c>
      <x:c r="D180" s="100" t="str">
        <x:v>Required</x:v>
      </x:c>
      <x:c r="E180" s="100" t="str">
        <x:v>text</x:v>
      </x:c>
      <x:c r="F180" s="100" t="str"/>
      <x:c r="G180" s="100" t="str">
        <x:v>当前数据表记录结构版本。</x:v>
      </x:c>
      <x:c r="H180" s="100" t="str"/>
      <x:c r="I180" s="100" t="str">
        <x:v>Internal</x:v>
      </x:c>
      <x:c r="J180" s="100" t="str">
        <x:v>Agent controller</x:v>
      </x:c>
      <x:c r="K180" s="100" t="str">
        <x:v>1.0</x:v>
      </x:c>
    </x:row>
    <x:row r="181">
      <x:c r="A181" s="100" t="str">
        <x:v>AgentSteps</x:v>
      </x:c>
      <x:c r="B181" s="100" t="str">
        <x:v>trace_id</x:v>
      </x:c>
      <x:c r="C181" s="100" t="str">
        <x:v>Identity</x:v>
      </x:c>
      <x:c r="D181" s="100" t="str">
        <x:v>Required</x:v>
      </x:c>
      <x:c r="E181" s="100" t="str">
        <x:v>text</x:v>
      </x:c>
      <x:c r="F181" s="100" t="str"/>
      <x:c r="G181" s="100" t="str">
        <x:v>一次完整Trace导出/采集批次的唯一标识。</x:v>
      </x:c>
      <x:c r="H181" s="100" t="str"/>
      <x:c r="I181" s="100" t="str">
        <x:v>Internal</x:v>
      </x:c>
      <x:c r="J181" s="100" t="str">
        <x:v>Agent controller</x:v>
      </x:c>
      <x:c r="K181" s="100" t="str">
        <x:v>ex_trace_001</x:v>
      </x:c>
    </x:row>
    <x:row r="182">
      <x:c r="A182" s="100" t="str">
        <x:v>AgentSteps</x:v>
      </x:c>
      <x:c r="B182" s="100" t="str">
        <x:v>task_id</x:v>
      </x:c>
      <x:c r="C182" s="100" t="str">
        <x:v>Identity</x:v>
      </x:c>
      <x:c r="D182" s="100" t="str">
        <x:v>Required</x:v>
      </x:c>
      <x:c r="E182" s="100" t="str">
        <x:v>text</x:v>
      </x:c>
      <x:c r="F182" s="100" t="str"/>
      <x:c r="G182" s="100" t="str">
        <x:v>一个软件工程目标的唯一标识。</x:v>
      </x:c>
      <x:c r="H182" s="100" t="str"/>
      <x:c r="I182" s="100" t="str">
        <x:v>Internal</x:v>
      </x:c>
      <x:c r="J182" s="100" t="str">
        <x:v>Agent controller</x:v>
      </x:c>
      <x:c r="K182" s="100" t="str">
        <x:v>ex_task_001</x:v>
      </x:c>
    </x:row>
    <x:row r="183">
      <x:c r="A183" s="100" t="str">
        <x:v>AgentSteps</x:v>
      </x:c>
      <x:c r="B183" s="100" t="str">
        <x:v>session_id</x:v>
      </x:c>
      <x:c r="C183" s="100" t="str">
        <x:v>Identity</x:v>
      </x:c>
      <x:c r="D183" s="100" t="str">
        <x:v>Recommended</x:v>
      </x:c>
      <x:c r="E183" s="100" t="str">
        <x:v>text</x:v>
      </x:c>
      <x:c r="F183" s="100" t="str"/>
      <x:c r="G183" s="100" t="str">
        <x:v>连续Agent交互会话标识。</x:v>
      </x:c>
      <x:c r="H183" s="100" t="str"/>
      <x:c r="I183" s="100" t="str">
        <x:v>Internal</x:v>
      </x:c>
      <x:c r="J183" s="100" t="str">
        <x:v>Agent controller</x:v>
      </x:c>
      <x:c r="K183" s="100" t="str">
        <x:v>ex_session_001</x:v>
      </x:c>
    </x:row>
    <x:row r="184">
      <x:c r="A184" s="100" t="str">
        <x:v>AgentSteps</x:v>
      </x:c>
      <x:c r="B184" s="100" t="str">
        <x:v>request_id</x:v>
      </x:c>
      <x:c r="C184" s="100" t="str">
        <x:v>Identity</x:v>
      </x:c>
      <x:c r="D184" s="100" t="str">
        <x:v>Recommended</x:v>
      </x:c>
      <x:c r="E184" s="100" t="str">
        <x:v>text</x:v>
      </x:c>
      <x:c r="F184" s="100" t="str"/>
      <x:c r="G184" s="100" t="str">
        <x:v>一次LLM推理调用的唯一标识。</x:v>
      </x:c>
      <x:c r="H184" s="100" t="str"/>
      <x:c r="I184" s="100" t="str">
        <x:v>Internal</x:v>
      </x:c>
      <x:c r="J184" s="100" t="str">
        <x:v>Agent controller</x:v>
      </x:c>
      <x:c r="K184" s="100" t="str">
        <x:v>ex_req_cold_001</x:v>
      </x:c>
    </x:row>
    <x:row r="185">
      <x:c r="A185" s="100" t="str">
        <x:v>AgentSteps</x:v>
      </x:c>
      <x:c r="B185" s="100" t="str">
        <x:v>step_id</x:v>
      </x:c>
      <x:c r="C185" s="100" t="str">
        <x:v>Identity</x:v>
      </x:c>
      <x:c r="D185" s="100" t="str">
        <x:v>Required</x:v>
      </x:c>
      <x:c r="E185" s="100" t="str">
        <x:v>text</x:v>
      </x:c>
      <x:c r="F185" s="100" t="str"/>
      <x:c r="G185" s="100" t="str">
        <x:v>Agent步骤唯一标识。</x:v>
      </x:c>
      <x:c r="H185" s="100" t="str"/>
      <x:c r="I185" s="100" t="str">
        <x:v>Internal</x:v>
      </x:c>
      <x:c r="J185" s="100" t="str">
        <x:v>Agent controller</x:v>
      </x:c>
      <x:c r="K185" s="100" t="str">
        <x:v>ex_step_001</x:v>
      </x:c>
    </x:row>
    <x:row r="186">
      <x:c r="A186" s="100" t="str">
        <x:v>AgentSteps</x:v>
      </x:c>
      <x:c r="B186" s="100" t="str">
        <x:v>step_index</x:v>
      </x:c>
      <x:c r="C186" s="100" t="str">
        <x:v>Action</x:v>
      </x:c>
      <x:c r="D186" s="100" t="str">
        <x:v>Required</x:v>
      </x:c>
      <x:c r="E186" s="100" t="str">
        <x:v>integer</x:v>
      </x:c>
      <x:c r="F186" s="100" t="str"/>
      <x:c r="G186" s="100" t="str">
        <x:v>步骤在任务中的顺序。</x:v>
      </x:c>
      <x:c r="H186" s="100" t="str"/>
      <x:c r="I186" s="100" t="str">
        <x:v>Internal</x:v>
      </x:c>
      <x:c r="J186" s="100" t="str">
        <x:v>Agent controller</x:v>
      </x:c>
      <x:c r="K186" s="100" t="str">
        <x:v>1</x:v>
      </x:c>
    </x:row>
    <x:row r="187">
      <x:c r="A187" s="100" t="str">
        <x:v>AgentSteps</x:v>
      </x:c>
      <x:c r="B187" s="100" t="str">
        <x:v>step_type</x:v>
      </x:c>
      <x:c r="C187" s="100" t="str">
        <x:v>Action</x:v>
      </x:c>
      <x:c r="D187" s="100" t="str">
        <x:v>Required</x:v>
      </x:c>
      <x:c r="E187" s="100" t="str">
        <x:v>text</x:v>
      </x:c>
      <x:c r="F187" s="100" t="str"/>
      <x:c r="G187" s="100" t="str">
        <x:v>模型、工具、编辑、测试等步骤类型。</x:v>
      </x:c>
      <x:c r="H187" s="100" t="str">
        <x:v>model_call | tool_call | file_read | file_edit | test | git | user_interaction | other</x:v>
      </x:c>
      <x:c r="I187" s="100" t="str">
        <x:v>Internal</x:v>
      </x:c>
      <x:c r="J187" s="100" t="str">
        <x:v>Agent controller</x:v>
      </x:c>
      <x:c r="K187" s="100" t="str">
        <x:v>model_call</x:v>
      </x:c>
    </x:row>
    <x:row r="188">
      <x:c r="A188" s="100" t="str">
        <x:v>AgentSteps</x:v>
      </x:c>
      <x:c r="B188" s="100" t="str">
        <x:v>action_name</x:v>
      </x:c>
      <x:c r="C188" s="100" t="str">
        <x:v>Action</x:v>
      </x:c>
      <x:c r="D188" s="100" t="str">
        <x:v>Recommended</x:v>
      </x:c>
      <x:c r="E188" s="100" t="str">
        <x:v>text</x:v>
      </x:c>
      <x:c r="F188" s="100" t="str"/>
      <x:c r="G188" s="100" t="str">
        <x:v>动作名称。</x:v>
      </x:c>
      <x:c r="H188" s="100" t="str"/>
      <x:c r="I188" s="100" t="str">
        <x:v>Internal</x:v>
      </x:c>
      <x:c r="J188" s="100" t="str">
        <x:v>Agent controller</x:v>
      </x:c>
      <x:c r="K188" s="100" t="str">
        <x:v>plan</x:v>
      </x:c>
    </x:row>
    <x:row r="189">
      <x:c r="A189" s="100" t="str">
        <x:v>AgentSteps</x:v>
      </x:c>
      <x:c r="B189" s="100" t="str">
        <x:v>tool_name</x:v>
      </x:c>
      <x:c r="C189" s="100" t="str">
        <x:v>Action</x:v>
      </x:c>
      <x:c r="D189" s="100" t="str">
        <x:v>Conditional</x:v>
      </x:c>
      <x:c r="E189" s="100" t="str">
        <x:v>text</x:v>
      </x:c>
      <x:c r="F189" s="100" t="str"/>
      <x:c r="G189" s="100" t="str">
        <x:v>调用的工具名称。</x:v>
      </x:c>
      <x:c r="H189" s="100" t="str"/>
      <x:c r="I189" s="100" t="str">
        <x:v>Internal</x:v>
      </x:c>
      <x:c r="J189" s="100" t="str">
        <x:v>Agent controller</x:v>
      </x:c>
      <x:c r="K189" s="100" t="str"/>
    </x:row>
    <x:row r="190">
      <x:c r="A190" s="100" t="str">
        <x:v>AgentSteps</x:v>
      </x:c>
      <x:c r="B190" s="100" t="str">
        <x:v>tool_args_hash</x:v>
      </x:c>
      <x:c r="C190" s="100" t="str">
        <x:v>Payload</x:v>
      </x:c>
      <x:c r="D190" s="100" t="str">
        <x:v>Recommended</x:v>
      </x:c>
      <x:c r="E190" s="100" t="str">
        <x:v>text</x:v>
      </x:c>
      <x:c r="F190" s="100" t="str"/>
      <x:c r="G190" s="100" t="str">
        <x:v>规范化工具参数哈希。</x:v>
      </x:c>
      <x:c r="H190" s="100" t="str"/>
      <x:c r="I190" s="100" t="str">
        <x:v>Restricted</x:v>
      </x:c>
      <x:c r="J190" s="100" t="str">
        <x:v>Agent controller</x:v>
      </x:c>
      <x:c r="K190" s="100" t="str"/>
    </x:row>
    <x:row r="191">
      <x:c r="A191" s="100" t="str">
        <x:v>AgentSteps</x:v>
      </x:c>
      <x:c r="B191" s="100" t="str">
        <x:v>tool_result_ref</x:v>
      </x:c>
      <x:c r="C191" s="100" t="str">
        <x:v>Payload</x:v>
      </x:c>
      <x:c r="D191" s="100" t="str">
        <x:v>Recommended</x:v>
      </x:c>
      <x:c r="E191" s="100" t="str">
        <x:v>text</x:v>
      </x:c>
      <x:c r="F191" s="100" t="str"/>
      <x:c r="G191" s="100" t="str">
        <x:v>受控工具结果引用。</x:v>
      </x:c>
      <x:c r="H191" s="100" t="str"/>
      <x:c r="I191" s="100" t="str">
        <x:v>Restricted</x:v>
      </x:c>
      <x:c r="J191" s="100" t="str">
        <x:v>Agent controller</x:v>
      </x:c>
      <x:c r="K191" s="100" t="str"/>
    </x:row>
    <x:row r="192">
      <x:c r="A192" s="100" t="str">
        <x:v>AgentSteps</x:v>
      </x:c>
      <x:c r="B192" s="100" t="str">
        <x:v>tool_result_token_count</x:v>
      </x:c>
      <x:c r="C192" s="100" t="str">
        <x:v>Payload</x:v>
      </x:c>
      <x:c r="D192" s="100" t="str">
        <x:v>Recommended</x:v>
      </x:c>
      <x:c r="E192" s="100" t="str">
        <x:v>integer</x:v>
      </x:c>
      <x:c r="F192" s="100" t="str">
        <x:v>token</x:v>
      </x:c>
      <x:c r="G192" s="100" t="str">
        <x:v>工具结果进入上下文的Token数。</x:v>
      </x:c>
      <x:c r="H192" s="100" t="str"/>
      <x:c r="I192" s="100" t="str">
        <x:v>Internal</x:v>
      </x:c>
      <x:c r="J192" s="100" t="str">
        <x:v>Agent controller</x:v>
      </x:c>
      <x:c r="K192" s="100" t="str">
        <x:v>0</x:v>
      </x:c>
    </x:row>
    <x:row r="193">
      <x:c r="A193" s="100" t="str">
        <x:v>AgentSteps</x:v>
      </x:c>
      <x:c r="B193" s="100" t="str">
        <x:v>tool_result_bytes</x:v>
      </x:c>
      <x:c r="C193" s="100" t="str">
        <x:v>Payload</x:v>
      </x:c>
      <x:c r="D193" s="100" t="str">
        <x:v>Recommended</x:v>
      </x:c>
      <x:c r="E193" s="100" t="str">
        <x:v>integer</x:v>
      </x:c>
      <x:c r="F193" s="100" t="str">
        <x:v>bytes</x:v>
      </x:c>
      <x:c r="G193" s="100" t="str">
        <x:v>工具结果字节数。</x:v>
      </x:c>
      <x:c r="H193" s="100" t="str"/>
      <x:c r="I193" s="100" t="str">
        <x:v>Internal</x:v>
      </x:c>
      <x:c r="J193" s="100" t="str">
        <x:v>Agent controller</x:v>
      </x:c>
      <x:c r="K193" s="100" t="str">
        <x:v>0</x:v>
      </x:c>
    </x:row>
    <x:row r="194">
      <x:c r="A194" s="100" t="str">
        <x:v>AgentSteps</x:v>
      </x:c>
      <x:c r="B194" s="100" t="str">
        <x:v>start_utc</x:v>
      </x:c>
      <x:c r="C194" s="100" t="str">
        <x:v>Timing</x:v>
      </x:c>
      <x:c r="D194" s="100" t="str">
        <x:v>Required</x:v>
      </x:c>
      <x:c r="E194" s="100" t="str">
        <x:v>datetime</x:v>
      </x:c>
      <x:c r="F194" s="100" t="str">
        <x:v>UTC</x:v>
      </x:c>
      <x:c r="G194" s="100" t="str">
        <x:v>步骤开始UTC时间。</x:v>
      </x:c>
      <x:c r="H194" s="100" t="str"/>
      <x:c r="I194" s="100" t="str">
        <x:v>Internal</x:v>
      </x:c>
      <x:c r="J194" s="100" t="str">
        <x:v>Agent controller</x:v>
      </x:c>
      <x:c r="K194" s="100" t="str">
        <x:v>2026-08-27 09:05:00 UTC</x:v>
      </x:c>
    </x:row>
    <x:row r="195">
      <x:c r="A195" s="100" t="str">
        <x:v>AgentSteps</x:v>
      </x:c>
      <x:c r="B195" s="100" t="str">
        <x:v>end_utc</x:v>
      </x:c>
      <x:c r="C195" s="100" t="str">
        <x:v>Timing</x:v>
      </x:c>
      <x:c r="D195" s="100" t="str">
        <x:v>Required</x:v>
      </x:c>
      <x:c r="E195" s="100" t="str">
        <x:v>datetime</x:v>
      </x:c>
      <x:c r="F195" s="100" t="str">
        <x:v>UTC</x:v>
      </x:c>
      <x:c r="G195" s="100" t="str">
        <x:v>步骤结束UTC时间。</x:v>
      </x:c>
      <x:c r="H195" s="100" t="str"/>
      <x:c r="I195" s="100" t="str">
        <x:v>Internal</x:v>
      </x:c>
      <x:c r="J195" s="100" t="str">
        <x:v>Agent controller</x:v>
      </x:c>
      <x:c r="K195" s="100" t="str">
        <x:v>2026-08-27 09:05:02.400Z</x:v>
      </x:c>
    </x:row>
    <x:row r="196">
      <x:c r="A196" s="100" t="str">
        <x:v>AgentSteps</x:v>
      </x:c>
      <x:c r="B196" s="100" t="str">
        <x:v>duration_ms</x:v>
      </x:c>
      <x:c r="C196" s="100" t="str">
        <x:v>Timing</x:v>
      </x:c>
      <x:c r="D196" s="100" t="str">
        <x:v>Recommended</x:v>
      </x:c>
      <x:c r="E196" s="100" t="str">
        <x:v>number</x:v>
      </x:c>
      <x:c r="F196" s="100" t="str">
        <x:v>ms</x:v>
      </x:c>
      <x:c r="G196" s="100" t="str">
        <x:v>派生：end_utc-start_utc。</x:v>
      </x:c>
      <x:c r="H196" s="100" t="str"/>
      <x:c r="I196" s="100" t="str">
        <x:v>Internal</x:v>
      </x:c>
      <x:c r="J196" s="100" t="str">
        <x:v>Agent controller</x:v>
      </x:c>
      <x:c r="K196" s="100" t="str"/>
    </x:row>
    <x:row r="197">
      <x:c r="A197" s="100" t="str">
        <x:v>AgentSteps</x:v>
      </x:c>
      <x:c r="B197" s="100" t="str">
        <x:v>status</x:v>
      </x:c>
      <x:c r="C197" s="100" t="str">
        <x:v>Outcome</x:v>
      </x:c>
      <x:c r="D197" s="100" t="str">
        <x:v>Required</x:v>
      </x:c>
      <x:c r="E197" s="100" t="str">
        <x:v>text</x:v>
      </x:c>
      <x:c r="F197" s="100" t="str"/>
      <x:c r="G197" s="100" t="str">
        <x:v>步骤状态。</x:v>
      </x:c>
      <x:c r="H197" s="100" t="str">
        <x:v>success | error | timeout | cancelled</x:v>
      </x:c>
      <x:c r="I197" s="100" t="str">
        <x:v>Internal</x:v>
      </x:c>
      <x:c r="J197" s="100" t="str">
        <x:v>Agent controller</x:v>
      </x:c>
      <x:c r="K197" s="100" t="str">
        <x:v>success</x:v>
      </x:c>
    </x:row>
    <x:row r="198">
      <x:c r="A198" s="100" t="str">
        <x:v>AgentSteps</x:v>
      </x:c>
      <x:c r="B198" s="100" t="str">
        <x:v>error_type</x:v>
      </x:c>
      <x:c r="C198" s="100" t="str">
        <x:v>Outcome</x:v>
      </x:c>
      <x:c r="D198" s="100" t="str">
        <x:v>Conditional</x:v>
      </x:c>
      <x:c r="E198" s="100" t="str">
        <x:v>text</x:v>
      </x:c>
      <x:c r="F198" s="100" t="str"/>
      <x:c r="G198" s="100" t="str">
        <x:v>预先登记的错误分类。</x:v>
      </x:c>
      <x:c r="H198" s="100" t="str"/>
      <x:c r="I198" s="100" t="str">
        <x:v>Internal</x:v>
      </x:c>
      <x:c r="J198" s="100" t="str">
        <x:v>Agent controller</x:v>
      </x:c>
      <x:c r="K198" s="100" t="str"/>
    </x:row>
    <x:row r="199">
      <x:c r="A199" s="100" t="str">
        <x:v>AgentSteps</x:v>
      </x:c>
      <x:c r="B199" s="100" t="str">
        <x:v>related_change_id</x:v>
      </x:c>
      <x:c r="C199" s="100" t="str">
        <x:v>Outcome</x:v>
      </x:c>
      <x:c r="D199" s="100" t="str">
        <x:v>Conditional</x:v>
      </x:c>
      <x:c r="E199" s="100" t="str">
        <x:v>text</x:v>
      </x:c>
      <x:c r="F199" s="100" t="str"/>
      <x:c r="G199" s="100" t="str">
        <x:v>关联FileChanges.change_id。</x:v>
      </x:c>
      <x:c r="H199" s="100" t="str"/>
      <x:c r="I199" s="100" t="str">
        <x:v>Internal</x:v>
      </x:c>
      <x:c r="J199" s="100" t="str">
        <x:v>Agent controller</x:v>
      </x:c>
      <x:c r="K199" s="100" t="str"/>
    </x:row>
    <x:row r="200">
      <x:c r="A200" s="100" t="str">
        <x:v>AgentSteps</x:v>
      </x:c>
      <x:c r="B200" s="100" t="str">
        <x:v>notes</x:v>
      </x:c>
      <x:c r="C200" s="100" t="str">
        <x:v>Other</x:v>
      </x:c>
      <x:c r="D200" s="100" t="str">
        <x:v>Conditional</x:v>
      </x:c>
      <x:c r="E200" s="100" t="str">
        <x:v>text</x:v>
      </x:c>
      <x:c r="F200" s="100" t="str"/>
      <x:c r="G200" s="100" t="str">
        <x:v>补充说明；不得放入未经批准的原始敏感内容。</x:v>
      </x:c>
      <x:c r="H200" s="100" t="str"/>
      <x:c r="I200" s="100" t="str">
        <x:v>Internal</x:v>
      </x:c>
      <x:c r="J200" s="100" t="str">
        <x:v>Agent controller</x:v>
      </x:c>
      <x:c r="K200" s="100" t="str">
        <x:v>首次模型调用。</x:v>
      </x:c>
    </x:row>
    <x:row r="201">
      <x:c r="A201" s="100" t="str">
        <x:v>FileChanges</x:v>
      </x:c>
      <x:c r="B201" s="100" t="str">
        <x:v>record_kind</x:v>
      </x:c>
      <x:c r="C201" s="100" t="str">
        <x:v>Identity</x:v>
      </x:c>
      <x:c r="D201" s="100" t="str">
        <x:v>Required</x:v>
      </x:c>
      <x:c r="E201" s="100" t="str">
        <x:v>text</x:v>
      </x:c>
      <x:c r="F201" s="100" t="str"/>
      <x:c r="G201" s="100" t="str">
        <x:v>DATA进入正式统计；EXAMPLE仅用于说明字段与公式。</x:v>
      </x:c>
      <x:c r="H201" s="100" t="str">
        <x:v>DATA | EXAMPLE</x:v>
      </x:c>
      <x:c r="I201" s="100" t="str">
        <x:v>Internal</x:v>
      </x:c>
      <x:c r="J201" s="100" t="str">
        <x:v>Repository observer</x:v>
      </x:c>
      <x:c r="K201" s="100" t="str">
        <x:v>EXAMPLE</x:v>
      </x:c>
    </x:row>
    <x:row r="202">
      <x:c r="A202" s="100" t="str">
        <x:v>FileChanges</x:v>
      </x:c>
      <x:c r="B202" s="100" t="str">
        <x:v>schema_version</x:v>
      </x:c>
      <x:c r="C202" s="100" t="str">
        <x:v>Identity</x:v>
      </x:c>
      <x:c r="D202" s="100" t="str">
        <x:v>Required</x:v>
      </x:c>
      <x:c r="E202" s="100" t="str">
        <x:v>text</x:v>
      </x:c>
      <x:c r="F202" s="100" t="str"/>
      <x:c r="G202" s="100" t="str">
        <x:v>当前数据表记录结构版本。</x:v>
      </x:c>
      <x:c r="H202" s="100" t="str"/>
      <x:c r="I202" s="100" t="str">
        <x:v>Internal</x:v>
      </x:c>
      <x:c r="J202" s="100" t="str">
        <x:v>Repository observer</x:v>
      </x:c>
      <x:c r="K202" s="100" t="str">
        <x:v>1.0</x:v>
      </x:c>
    </x:row>
    <x:row r="203">
      <x:c r="A203" s="100" t="str">
        <x:v>FileChanges</x:v>
      </x:c>
      <x:c r="B203" s="100" t="str">
        <x:v>trace_id</x:v>
      </x:c>
      <x:c r="C203" s="100" t="str">
        <x:v>Identity</x:v>
      </x:c>
      <x:c r="D203" s="100" t="str">
        <x:v>Required</x:v>
      </x:c>
      <x:c r="E203" s="100" t="str">
        <x:v>text</x:v>
      </x:c>
      <x:c r="F203" s="100" t="str"/>
      <x:c r="G203" s="100" t="str">
        <x:v>一次完整Trace导出/采集批次的唯一标识。</x:v>
      </x:c>
      <x:c r="H203" s="100" t="str"/>
      <x:c r="I203" s="100" t="str">
        <x:v>Internal</x:v>
      </x:c>
      <x:c r="J203" s="100" t="str">
        <x:v>Repository observer</x:v>
      </x:c>
      <x:c r="K203" s="100" t="str">
        <x:v>ex_trace_001</x:v>
      </x:c>
    </x:row>
    <x:row r="204">
      <x:c r="A204" s="100" t="str">
        <x:v>FileChanges</x:v>
      </x:c>
      <x:c r="B204" s="100" t="str">
        <x:v>task_id</x:v>
      </x:c>
      <x:c r="C204" s="100" t="str">
        <x:v>Identity</x:v>
      </x:c>
      <x:c r="D204" s="100" t="str">
        <x:v>Required</x:v>
      </x:c>
      <x:c r="E204" s="100" t="str">
        <x:v>text</x:v>
      </x:c>
      <x:c r="F204" s="100" t="str"/>
      <x:c r="G204" s="100" t="str">
        <x:v>一个软件工程目标的唯一标识。</x:v>
      </x:c>
      <x:c r="H204" s="100" t="str"/>
      <x:c r="I204" s="100" t="str">
        <x:v>Internal</x:v>
      </x:c>
      <x:c r="J204" s="100" t="str">
        <x:v>Repository observer</x:v>
      </x:c>
      <x:c r="K204" s="100" t="str">
        <x:v>ex_task_001</x:v>
      </x:c>
    </x:row>
    <x:row r="205">
      <x:c r="A205" s="100" t="str">
        <x:v>FileChanges</x:v>
      </x:c>
      <x:c r="B205" s="100" t="str">
        <x:v>request_id</x:v>
      </x:c>
      <x:c r="C205" s="100" t="str">
        <x:v>Identity</x:v>
      </x:c>
      <x:c r="D205" s="100" t="str">
        <x:v>Recommended</x:v>
      </x:c>
      <x:c r="E205" s="100" t="str">
        <x:v>text</x:v>
      </x:c>
      <x:c r="F205" s="100" t="str"/>
      <x:c r="G205" s="100" t="str">
        <x:v>一次LLM推理调用的唯一标识。</x:v>
      </x:c>
      <x:c r="H205" s="100" t="str"/>
      <x:c r="I205" s="100" t="str">
        <x:v>Internal</x:v>
      </x:c>
      <x:c r="J205" s="100" t="str">
        <x:v>Repository observer</x:v>
      </x:c>
      <x:c r="K205" s="100" t="str">
        <x:v>ex_req_dram_002</x:v>
      </x:c>
    </x:row>
    <x:row r="206">
      <x:c r="A206" s="100" t="str">
        <x:v>FileChanges</x:v>
      </x:c>
      <x:c r="B206" s="100" t="str">
        <x:v>change_id</x:v>
      </x:c>
      <x:c r="C206" s="100" t="str">
        <x:v>Identity</x:v>
      </x:c>
      <x:c r="D206" s="100" t="str">
        <x:v>Required</x:v>
      </x:c>
      <x:c r="E206" s="100" t="str">
        <x:v>text</x:v>
      </x:c>
      <x:c r="F206" s="100" t="str"/>
      <x:c r="G206" s="100" t="str">
        <x:v>文件变化事件唯一标识。</x:v>
      </x:c>
      <x:c r="H206" s="100" t="str"/>
      <x:c r="I206" s="100" t="str">
        <x:v>Internal</x:v>
      </x:c>
      <x:c r="J206" s="100" t="str">
        <x:v>Repository observer</x:v>
      </x:c>
      <x:c r="K206" s="100" t="str">
        <x:v>ex_change_001</x:v>
      </x:c>
    </x:row>
    <x:row r="207">
      <x:c r="A207" s="100" t="str">
        <x:v>FileChanges</x:v>
      </x:c>
      <x:c r="B207" s="100" t="str">
        <x:v>repo_pseudonym</x:v>
      </x:c>
      <x:c r="C207" s="100" t="str">
        <x:v>File</x:v>
      </x:c>
      <x:c r="D207" s="100" t="str">
        <x:v>Required</x:v>
      </x:c>
      <x:c r="E207" s="100" t="str">
        <x:v>text</x:v>
      </x:c>
      <x:c r="F207" s="100" t="str"/>
      <x:c r="G207" s="100" t="str">
        <x:v>假名化仓库标识。</x:v>
      </x:c>
      <x:c r="H207" s="100" t="str"/>
      <x:c r="I207" s="100" t="str">
        <x:v>Restricted</x:v>
      </x:c>
      <x:c r="J207" s="100" t="str">
        <x:v>Repository observer</x:v>
      </x:c>
      <x:c r="K207" s="100" t="str">
        <x:v>repo_demo</x:v>
      </x:c>
    </x:row>
    <x:row r="208">
      <x:c r="A208" s="100" t="str">
        <x:v>FileChanges</x:v>
      </x:c>
      <x:c r="B208" s="100" t="str">
        <x:v>file_path_hash</x:v>
      </x:c>
      <x:c r="C208" s="100" t="str">
        <x:v>File</x:v>
      </x:c>
      <x:c r="D208" s="100" t="str">
        <x:v>Required</x:v>
      </x:c>
      <x:c r="E208" s="100" t="str">
        <x:v>text</x:v>
      </x:c>
      <x:c r="F208" s="100" t="str"/>
      <x:c r="G208" s="100" t="str">
        <x:v>文件路径的安全域加盐哈希。</x:v>
      </x:c>
      <x:c r="H208" s="100" t="str"/>
      <x:c r="I208" s="100" t="str">
        <x:v>Restricted</x:v>
      </x:c>
      <x:c r="J208" s="100" t="str">
        <x:v>Repository observer</x:v>
      </x:c>
      <x:c r="K208" s="100" t="str">
        <x:v>sha256:EXAMPLE_PATH_1</x:v>
      </x:c>
    </x:row>
    <x:row r="209">
      <x:c r="A209" s="100" t="str">
        <x:v>FileChanges</x:v>
      </x:c>
      <x:c r="B209" s="100" t="str">
        <x:v>language</x:v>
      </x:c>
      <x:c r="C209" s="100" t="str">
        <x:v>File</x:v>
      </x:c>
      <x:c r="D209" s="100" t="str">
        <x:v>Recommended</x:v>
      </x:c>
      <x:c r="E209" s="100" t="str">
        <x:v>text</x:v>
      </x:c>
      <x:c r="F209" s="100" t="str"/>
      <x:c r="G209" s="100" t="str">
        <x:v>文件编程语言/格式。</x:v>
      </x:c>
      <x:c r="H209" s="100" t="str"/>
      <x:c r="I209" s="100" t="str">
        <x:v>Internal</x:v>
      </x:c>
      <x:c r="J209" s="100" t="str">
        <x:v>Repository observer</x:v>
      </x:c>
      <x:c r="K209" s="100" t="str">
        <x:v>Python</x:v>
      </x:c>
    </x:row>
    <x:row r="210">
      <x:c r="A210" s="100" t="str">
        <x:v>FileChanges</x:v>
      </x:c>
      <x:c r="B210" s="100" t="str">
        <x:v>change_type</x:v>
      </x:c>
      <x:c r="C210" s="100" t="str">
        <x:v>File</x:v>
      </x:c>
      <x:c r="D210" s="100" t="str">
        <x:v>Required</x:v>
      </x:c>
      <x:c r="E210" s="100" t="str">
        <x:v>text</x:v>
      </x:c>
      <x:c r="F210" s="100" t="str"/>
      <x:c r="G210" s="100" t="str">
        <x:v>add、modify、delete或rename。</x:v>
      </x:c>
      <x:c r="H210" s="100" t="str">
        <x:v>add | modify | delete | rename</x:v>
      </x:c>
      <x:c r="I210" s="100" t="str">
        <x:v>Internal</x:v>
      </x:c>
      <x:c r="J210" s="100" t="str">
        <x:v>Repository observer</x:v>
      </x:c>
      <x:c r="K210" s="100" t="str">
        <x:v>modify</x:v>
      </x:c>
    </x:row>
    <x:row r="211">
      <x:c r="A211" s="100" t="str">
        <x:v>FileChanges</x:v>
      </x:c>
      <x:c r="B211" s="100" t="str">
        <x:v>commit_before</x:v>
      </x:c>
      <x:c r="C211" s="100" t="str">
        <x:v>Version</x:v>
      </x:c>
      <x:c r="D211" s="100" t="str">
        <x:v>Recommended</x:v>
      </x:c>
      <x:c r="E211" s="100" t="str">
        <x:v>text</x:v>
      </x:c>
      <x:c r="F211" s="100" t="str"/>
      <x:c r="G211" s="100" t="str">
        <x:v>变化前提交/状态。</x:v>
      </x:c>
      <x:c r="H211" s="100" t="str"/>
      <x:c r="I211" s="100" t="str">
        <x:v>Confidential</x:v>
      </x:c>
      <x:c r="J211" s="100" t="str">
        <x:v>Repository observer</x:v>
      </x:c>
      <x:c r="K211" s="100" t="str">
        <x:v>commit_demo_0</x:v>
      </x:c>
    </x:row>
    <x:row r="212">
      <x:c r="A212" s="100" t="str">
        <x:v>FileChanges</x:v>
      </x:c>
      <x:c r="B212" s="100" t="str">
        <x:v>commit_after</x:v>
      </x:c>
      <x:c r="C212" s="100" t="str">
        <x:v>Version</x:v>
      </x:c>
      <x:c r="D212" s="100" t="str">
        <x:v>Recommended</x:v>
      </x:c>
      <x:c r="E212" s="100" t="str">
        <x:v>text</x:v>
      </x:c>
      <x:c r="F212" s="100" t="str"/>
      <x:c r="G212" s="100" t="str">
        <x:v>变化后提交/状态。</x:v>
      </x:c>
      <x:c r="H212" s="100" t="str"/>
      <x:c r="I212" s="100" t="str">
        <x:v>Confidential</x:v>
      </x:c>
      <x:c r="J212" s="100" t="str">
        <x:v>Repository observer</x:v>
      </x:c>
      <x:c r="K212" s="100" t="str">
        <x:v>worktree_demo_1</x:v>
      </x:c>
    </x:row>
    <x:row r="213">
      <x:c r="A213" s="100" t="str">
        <x:v>FileChanges</x:v>
      </x:c>
      <x:c r="B213" s="100" t="str">
        <x:v>file_hash_before</x:v>
      </x:c>
      <x:c r="C213" s="100" t="str">
        <x:v>Version</x:v>
      </x:c>
      <x:c r="D213" s="100" t="str">
        <x:v>Required</x:v>
      </x:c>
      <x:c r="E213" s="100" t="str">
        <x:v>text</x:v>
      </x:c>
      <x:c r="F213" s="100" t="str"/>
      <x:c r="G213" s="100" t="str">
        <x:v>变化前文件内容哈希。</x:v>
      </x:c>
      <x:c r="H213" s="100" t="str"/>
      <x:c r="I213" s="100" t="str">
        <x:v>Confidential</x:v>
      </x:c>
      <x:c r="J213" s="100" t="str">
        <x:v>Repository observer</x:v>
      </x:c>
      <x:c r="K213" s="100" t="str">
        <x:v>sha256:EXAMPLE_FILE_0</x:v>
      </x:c>
    </x:row>
    <x:row r="214">
      <x:c r="A214" s="100" t="str">
        <x:v>FileChanges</x:v>
      </x:c>
      <x:c r="B214" s="100" t="str">
        <x:v>file_hash_after</x:v>
      </x:c>
      <x:c r="C214" s="100" t="str">
        <x:v>Version</x:v>
      </x:c>
      <x:c r="D214" s="100" t="str">
        <x:v>Required</x:v>
      </x:c>
      <x:c r="E214" s="100" t="str">
        <x:v>text</x:v>
      </x:c>
      <x:c r="F214" s="100" t="str"/>
      <x:c r="G214" s="100" t="str">
        <x:v>变化后文件内容哈希。</x:v>
      </x:c>
      <x:c r="H214" s="100" t="str"/>
      <x:c r="I214" s="100" t="str">
        <x:v>Confidential</x:v>
      </x:c>
      <x:c r="J214" s="100" t="str">
        <x:v>Repository observer</x:v>
      </x:c>
      <x:c r="K214" s="100" t="str">
        <x:v>sha256:EXAMPLE_FILE_1</x:v>
      </x:c>
    </x:row>
    <x:row r="215">
      <x:c r="A215" s="100" t="str">
        <x:v>FileChanges</x:v>
      </x:c>
      <x:c r="B215" s="100" t="str">
        <x:v>lines_added</x:v>
      </x:c>
      <x:c r="C215" s="100" t="str">
        <x:v>Change magnitude</x:v>
      </x:c>
      <x:c r="D215" s="100" t="str">
        <x:v>Recommended</x:v>
      </x:c>
      <x:c r="E215" s="100" t="str">
        <x:v>integer</x:v>
      </x:c>
      <x:c r="F215" s="100" t="str"/>
      <x:c r="G215" s="100" t="str">
        <x:v>新增行数。</x:v>
      </x:c>
      <x:c r="H215" s="100" t="str"/>
      <x:c r="I215" s="100" t="str">
        <x:v>Internal</x:v>
      </x:c>
      <x:c r="J215" s="100" t="str">
        <x:v>Repository observer</x:v>
      </x:c>
      <x:c r="K215" s="100" t="str">
        <x:v>12</x:v>
      </x:c>
    </x:row>
    <x:row r="216">
      <x:c r="A216" s="100" t="str">
        <x:v>FileChanges</x:v>
      </x:c>
      <x:c r="B216" s="100" t="str">
        <x:v>lines_deleted</x:v>
      </x:c>
      <x:c r="C216" s="100" t="str">
        <x:v>Change magnitude</x:v>
      </x:c>
      <x:c r="D216" s="100" t="str">
        <x:v>Recommended</x:v>
      </x:c>
      <x:c r="E216" s="100" t="str">
        <x:v>integer</x:v>
      </x:c>
      <x:c r="F216" s="100" t="str"/>
      <x:c r="G216" s="100" t="str">
        <x:v>删除行数。</x:v>
      </x:c>
      <x:c r="H216" s="100" t="str"/>
      <x:c r="I216" s="100" t="str">
        <x:v>Internal</x:v>
      </x:c>
      <x:c r="J216" s="100" t="str">
        <x:v>Repository observer</x:v>
      </x:c>
      <x:c r="K216" s="100" t="str">
        <x:v>4</x:v>
      </x:c>
    </x:row>
    <x:row r="217">
      <x:c r="A217" s="100" t="str">
        <x:v>FileChanges</x:v>
      </x:c>
      <x:c r="B217" s="100" t="str">
        <x:v>file_tokens_before</x:v>
      </x:c>
      <x:c r="C217" s="100" t="str">
        <x:v>Change magnitude</x:v>
      </x:c>
      <x:c r="D217" s="100" t="str">
        <x:v>Recommended</x:v>
      </x:c>
      <x:c r="E217" s="100" t="str">
        <x:v>text</x:v>
      </x:c>
      <x:c r="F217" s="100" t="str"/>
      <x:c r="G217" s="100" t="str">
        <x:v>变化前按目标Tokenizer计数的Token数。</x:v>
      </x:c>
      <x:c r="H217" s="100" t="str"/>
      <x:c r="I217" s="100" t="str">
        <x:v>Internal</x:v>
      </x:c>
      <x:c r="J217" s="100" t="str">
        <x:v>Repository observer</x:v>
      </x:c>
      <x:c r="K217" s="100" t="str">
        <x:v>1500</x:v>
      </x:c>
    </x:row>
    <x:row r="218">
      <x:c r="A218" s="100" t="str">
        <x:v>FileChanges</x:v>
      </x:c>
      <x:c r="B218" s="100" t="str">
        <x:v>file_tokens_after</x:v>
      </x:c>
      <x:c r="C218" s="100" t="str">
        <x:v>Change magnitude</x:v>
      </x:c>
      <x:c r="D218" s="100" t="str">
        <x:v>Recommended</x:v>
      </x:c>
      <x:c r="E218" s="100" t="str">
        <x:v>text</x:v>
      </x:c>
      <x:c r="F218" s="100" t="str"/>
      <x:c r="G218" s="100" t="str">
        <x:v>变化后Token数。</x:v>
      </x:c>
      <x:c r="H218" s="100" t="str"/>
      <x:c r="I218" s="100" t="str">
        <x:v>Internal</x:v>
      </x:c>
      <x:c r="J218" s="100" t="str">
        <x:v>Repository observer</x:v>
      </x:c>
      <x:c r="K218" s="100" t="str">
        <x:v>1560</x:v>
      </x:c>
    </x:row>
    <x:row r="219">
      <x:c r="A219" s="100" t="str">
        <x:v>FileChanges</x:v>
      </x:c>
      <x:c r="B219" s="100" t="str">
        <x:v>changed_token_count</x:v>
      </x:c>
      <x:c r="C219" s="100" t="str">
        <x:v>Change magnitude</x:v>
      </x:c>
      <x:c r="D219" s="100" t="str">
        <x:v>Recommended</x:v>
      </x:c>
      <x:c r="E219" s="100" t="str">
        <x:v>integer</x:v>
      </x:c>
      <x:c r="F219" s="100" t="str">
        <x:v>token</x:v>
      </x:c>
      <x:c r="G219" s="100" t="str">
        <x:v>变化Token数。</x:v>
      </x:c>
      <x:c r="H219" s="100" t="str"/>
      <x:c r="I219" s="100" t="str">
        <x:v>Internal</x:v>
      </x:c>
      <x:c r="J219" s="100" t="str">
        <x:v>Repository observer</x:v>
      </x:c>
      <x:c r="K219" s="100" t="str">
        <x:v>80</x:v>
      </x:c>
    </x:row>
    <x:row r="220">
      <x:c r="A220" s="100" t="str">
        <x:v>FileChanges</x:v>
      </x:c>
      <x:c r="B220" s="100" t="str">
        <x:v>changed_token_ratio</x:v>
      </x:c>
      <x:c r="C220" s="100" t="str">
        <x:v>Change magnitude</x:v>
      </x:c>
      <x:c r="D220" s="100" t="str">
        <x:v>Recommended</x:v>
      </x:c>
      <x:c r="E220" s="100" t="str">
        <x:v>number</x:v>
      </x:c>
      <x:c r="F220" s="100" t="str">
        <x:v>ratio</x:v>
      </x:c>
      <x:c r="G220" s="100" t="str">
        <x:v>相对前一相关版本的Token变化比例。</x:v>
      </x:c>
      <x:c r="H220" s="100" t="str"/>
      <x:c r="I220" s="100" t="str">
        <x:v>Internal</x:v>
      </x:c>
      <x:c r="J220" s="100" t="str">
        <x:v>Repository observer</x:v>
      </x:c>
      <x:c r="K220" s="100" t="str"/>
    </x:row>
    <x:row r="221">
      <x:c r="A221" s="100" t="str">
        <x:v>FileChanges</x:v>
      </x:c>
      <x:c r="B221" s="100" t="str">
        <x:v>in_prompt_flag</x:v>
      </x:c>
      <x:c r="C221" s="100" t="str">
        <x:v>Linkage</x:v>
      </x:c>
      <x:c r="D221" s="100" t="str">
        <x:v>Recommended</x:v>
      </x:c>
      <x:c r="E221" s="100" t="str">
        <x:v>integer</x:v>
      </x:c>
      <x:c r="F221" s="100" t="str"/>
      <x:c r="G221" s="100" t="str">
        <x:v>变化文件是否进入当前Prompt。</x:v>
      </x:c>
      <x:c r="H221" s="100" t="str">
        <x:v>0 | 1</x:v>
      </x:c>
      <x:c r="I221" s="100" t="str">
        <x:v>Internal</x:v>
      </x:c>
      <x:c r="J221" s="100" t="str">
        <x:v>Repository observer</x:v>
      </x:c>
      <x:c r="K221" s="100" t="str">
        <x:v>1</x:v>
      </x:c>
    </x:row>
    <x:row r="222">
      <x:c r="A222" s="100" t="str">
        <x:v>FileChanges</x:v>
      </x:c>
      <x:c r="B222" s="100" t="str">
        <x:v>segment_id</x:v>
      </x:c>
      <x:c r="C222" s="100" t="str">
        <x:v>Identity</x:v>
      </x:c>
      <x:c r="D222" s="100" t="str">
        <x:v>Recommended</x:v>
      </x:c>
      <x:c r="E222" s="100" t="str">
        <x:v>text</x:v>
      </x:c>
      <x:c r="F222" s="100" t="str"/>
      <x:c r="G222" s="100" t="str">
        <x:v>Prompt片段唯一标识。</x:v>
      </x:c>
      <x:c r="H222" s="100" t="str"/>
      <x:c r="I222" s="100" t="str">
        <x:v>Internal</x:v>
      </x:c>
      <x:c r="J222" s="100" t="str">
        <x:v>Repository observer</x:v>
      </x:c>
      <x:c r="K222" s="100" t="str">
        <x:v>ex_seg_004</x:v>
      </x:c>
    </x:row>
    <x:row r="223">
      <x:c r="A223" s="100" t="str">
        <x:v>FileChanges</x:v>
      </x:c>
      <x:c r="B223" s="100" t="str">
        <x:v>dependency_scope</x:v>
      </x:c>
      <x:c r="C223" s="100" t="str">
        <x:v>Linkage</x:v>
      </x:c>
      <x:c r="D223" s="100" t="str">
        <x:v>Recommended</x:v>
      </x:c>
      <x:c r="E223" s="100" t="str">
        <x:v>text</x:v>
      </x:c>
      <x:c r="F223" s="100" t="str"/>
      <x:c r="G223" s="100" t="str">
        <x:v>依赖影响范围摘要/版本化分类。</x:v>
      </x:c>
      <x:c r="H223" s="100" t="str"/>
      <x:c r="I223" s="100" t="str">
        <x:v>Internal</x:v>
      </x:c>
      <x:c r="J223" s="100" t="str">
        <x:v>Repository observer</x:v>
      </x:c>
      <x:c r="K223" s="100" t="str">
        <x:v>local_module</x:v>
      </x:c>
    </x:row>
    <x:row r="224">
      <x:c r="A224" s="100" t="str">
        <x:v>FileChanges</x:v>
      </x:c>
      <x:c r="B224" s="100" t="str">
        <x:v>notes</x:v>
      </x:c>
      <x:c r="C224" s="100" t="str">
        <x:v>Other</x:v>
      </x:c>
      <x:c r="D224" s="100" t="str">
        <x:v>Conditional</x:v>
      </x:c>
      <x:c r="E224" s="100" t="str">
        <x:v>text</x:v>
      </x:c>
      <x:c r="F224" s="100" t="str"/>
      <x:c r="G224" s="100" t="str">
        <x:v>补充说明；不得放入未经批准的原始敏感内容。</x:v>
      </x:c>
      <x:c r="H224" s="100" t="str"/>
      <x:c r="I224" s="100" t="str">
        <x:v>Internal</x:v>
      </x:c>
      <x:c r="J224" s="100" t="str">
        <x:v>Repository observer</x:v>
      </x:c>
      <x:c r="K224" s="100" t="str">
        <x:v>局部文件变化示例。</x:v>
      </x:c>
    </x:row>
  </x:sheetData>
  <x:conditionalFormatting sqref="D2:D224">
    <x:cfRule type="containsText" dxfId="13" priority="1" operator="containsText" text="Required"/>
  </x:conditionalFormatting>
  <x:conditionalFormatting sqref="I2:I224">
    <x:cfRule type="containsText" dxfId="14" priority="2" operator="containsText" text="Restricted"/>
  </x:conditionalFormatting>
  <x:pageMargins left="0.7" right="0.7" top="0.75" bottom="0.75" header="0.3" footer="0.3"/>
  <x:tableParts count="1">
    <x:tablePart xmlns:r="http://schemas.openxmlformats.org/officeDocument/2006/relationships" r:id="Re401ee167b924ee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6" hidden="0" customWidth="1"/>
    <x:col min="4" max="4" width="24" hidden="0" customWidth="1"/>
  </x:cols>
  <x:sheetData>
    <x:row r="1" ht="32" customHeight="1">
      <x:c r="A1" s="102" t="str">
        <x:v>category</x:v>
      </x:c>
      <x:c r="B1" s="102" t="str">
        <x:v>value</x:v>
      </x:c>
      <x:c r="C1" s="102" t="str">
        <x:v>中文含义</x:v>
      </x:c>
      <x:c r="D1" s="102" t="str">
        <x:v>used_in</x:v>
      </x:c>
    </x:row>
    <x:row r="2">
      <x:c r="A2" s="100" t="str">
        <x:v>record_kind</x:v>
      </x:c>
      <x:c r="B2" s="100" t="str">
        <x:v>DATA</x:v>
      </x:c>
      <x:c r="C2" s="100" t="str">
        <x:v>正式数据；进入QA与指标汇总</x:v>
      </x:c>
      <x:c r="D2" s="100" t="str">
        <x:v>all data sheets</x:v>
      </x:c>
    </x:row>
    <x:row r="3">
      <x:c r="A3" s="100" t="str">
        <x:v>record_kind</x:v>
      </x:c>
      <x:c r="B3" s="100" t="str">
        <x:v>EXAMPLE</x:v>
      </x:c>
      <x:c r="C3" s="100" t="str">
        <x:v>示例数据；默认不进入指标汇总</x:v>
      </x:c>
      <x:c r="D3" s="100" t="str">
        <x:v>all data sheets</x:v>
      </x:c>
    </x:row>
    <x:row r="4">
      <x:c r="A4" s="100" t="str">
        <x:v>scene_class</x:v>
      </x:c>
      <x:c r="B4" s="100" t="str">
        <x:v>general</x:v>
      </x:c>
      <x:c r="C4" s="100" t="str">
        <x:v>通用非Code Agent场景</x:v>
      </x:c>
      <x:c r="D4" s="100" t="str">
        <x:v>Requests</x:v>
      </x:c>
    </x:row>
    <x:row r="5">
      <x:c r="A5" s="100" t="str">
        <x:v>scene_class</x:v>
      </x:c>
      <x:c r="B5" s="100" t="str">
        <x:v>code_agent</x:v>
      </x:c>
      <x:c r="C5" s="100" t="str">
        <x:v>符合本项目定义的Code Agent场景</x:v>
      </x:c>
      <x:c r="D5" s="100" t="str">
        <x:v>Requests</x:v>
      </x:c>
    </x:row>
    <x:row r="6">
      <x:c r="A6" s="100" t="str">
        <x:v>workload_type</x:v>
      </x:c>
      <x:c r="B6" s="100" t="str">
        <x:v>bug_fix</x:v>
      </x:c>
      <x:c r="C6" s="100" t="str">
        <x:v>缺陷修复</x:v>
      </x:c>
      <x:c r="D6" s="100" t="str">
        <x:v>Requests</x:v>
      </x:c>
    </x:row>
    <x:row r="7">
      <x:c r="A7" s="100" t="str">
        <x:v>workload_type</x:v>
      </x:c>
      <x:c r="B7" s="100" t="str">
        <x:v>debug_test</x:v>
      </x:c>
      <x:c r="C7" s="100" t="str">
        <x:v>调试与测试循环</x:v>
      </x:c>
      <x:c r="D7" s="100" t="str">
        <x:v>Requests</x:v>
      </x:c>
    </x:row>
    <x:row r="8">
      <x:c r="A8" s="100" t="str">
        <x:v>workload_type</x:v>
      </x:c>
      <x:c r="B8" s="100" t="str">
        <x:v>code_review</x:v>
      </x:c>
      <x:c r="C8" s="100" t="str">
        <x:v>代码审查</x:v>
      </x:c>
      <x:c r="D8" s="100" t="str">
        <x:v>Requests</x:v>
      </x:c>
    </x:row>
    <x:row r="9">
      <x:c r="A9" s="100" t="str">
        <x:v>workload_type</x:v>
      </x:c>
      <x:c r="B9" s="100" t="str">
        <x:v>repo_understanding</x:v>
      </x:c>
      <x:c r="C9" s="100" t="str">
        <x:v>仓库理解/解释</x:v>
      </x:c>
      <x:c r="D9" s="100" t="str">
        <x:v>Requests</x:v>
      </x:c>
    </x:row>
    <x:row r="10">
      <x:c r="A10" s="100" t="str">
        <x:v>workload_type</x:v>
      </x:c>
      <x:c r="B10" s="100" t="str">
        <x:v>refactor</x:v>
      </x:c>
      <x:c r="C10" s="100" t="str">
        <x:v>重构</x:v>
      </x:c>
      <x:c r="D10" s="100" t="str">
        <x:v>Requests</x:v>
      </x:c>
    </x:row>
    <x:row r="11">
      <x:c r="A11" s="100" t="str">
        <x:v>workload_type</x:v>
      </x:c>
      <x:c r="B11" s="100" t="str">
        <x:v>other</x:v>
      </x:c>
      <x:c r="C11" s="100" t="str">
        <x:v>其他预先登记任务</x:v>
      </x:c>
      <x:c r="D11" s="100" t="str">
        <x:v>Requests</x:v>
      </x:c>
    </x:row>
    <x:row r="12">
      <x:c r="A12" s="100" t="str">
        <x:v>reuse_scope</x:v>
      </x:c>
      <x:c r="B12" s="100" t="str">
        <x:v>task</x:v>
      </x:c>
      <x:c r="C12" s="100" t="str">
        <x:v>同一任务内</x:v>
      </x:c>
      <x:c r="D12" s="100" t="str">
        <x:v>Requests</x:v>
      </x:c>
    </x:row>
    <x:row r="13">
      <x:c r="A13" s="100" t="str">
        <x:v>reuse_scope</x:v>
      </x:c>
      <x:c r="B13" s="100" t="str">
        <x:v>session</x:v>
      </x:c>
      <x:c r="C13" s="100" t="str">
        <x:v>同一会话内</x:v>
      </x:c>
      <x:c r="D13" s="100" t="str">
        <x:v>Requests</x:v>
      </x:c>
    </x:row>
    <x:row r="14">
      <x:c r="A14" s="100" t="str">
        <x:v>reuse_scope</x:v>
      </x:c>
      <x:c r="B14" s="100" t="str">
        <x:v>repo</x:v>
      </x:c>
      <x:c r="C14" s="100" t="str">
        <x:v>同仓库跨会话</x:v>
      </x:c>
      <x:c r="D14" s="100" t="str">
        <x:v>Requests</x:v>
      </x:c>
    </x:row>
    <x:row r="15">
      <x:c r="A15" s="100" t="str">
        <x:v>reuse_scope</x:v>
      </x:c>
      <x:c r="B15" s="100" t="str">
        <x:v>platform</x:v>
      </x:c>
      <x:c r="C15" s="100" t="str">
        <x:v>平台公共前缀</x:v>
      </x:c>
      <x:c r="D15" s="100" t="str">
        <x:v>Requests</x:v>
      </x:c>
    </x:row>
    <x:row r="16">
      <x:c r="A16" s="100" t="str">
        <x:v>cache_policy</x:v>
      </x:c>
      <x:c r="B16" s="100" t="str">
        <x:v>B0_none</x:v>
      </x:c>
      <x:c r="C16" s="100" t="str">
        <x:v>关闭复用的无缓存基线</x:v>
      </x:c>
      <x:c r="D16" s="100" t="str">
        <x:v>Requests</x:v>
      </x:c>
    </x:row>
    <x:row r="17">
      <x:c r="A17" s="100" t="str">
        <x:v>cache_policy</x:v>
      </x:c>
      <x:c r="B17" s="100" t="str">
        <x:v>B1_engine_prefix</x:v>
      </x:c>
      <x:c r="C17" s="100" t="str">
        <x:v>引擎原生精确前缀缓存</x:v>
      </x:c>
      <x:c r="D17" s="100" t="str">
        <x:v>Requests</x:v>
      </x:c>
    </x:row>
    <x:row r="18">
      <x:c r="A18" s="100" t="str">
        <x:v>cache_policy</x:v>
      </x:c>
      <x:c r="B18" s="100" t="str">
        <x:v>B2_exact_tiered</x:v>
      </x:c>
      <x:c r="C18" s="100" t="str">
        <x:v>项目精确前缀HBM/DRAM</x:v>
      </x:c>
      <x:c r="D18" s="100" t="str">
        <x:v>Requests</x:v>
      </x:c>
    </x:row>
    <x:row r="19">
      <x:c r="A19" s="100" t="str">
        <x:v>cache_policy</x:v>
      </x:c>
      <x:c r="B19" s="100" t="str">
        <x:v>B3_hierarchical</x:v>
      </x:c>
      <x:c r="C19" s="100" t="str">
        <x:v>项目HBM/DRAM/NVMe分层</x:v>
      </x:c>
      <x:c r="D19" s="100" t="str">
        <x:v>Requests</x:v>
      </x:c>
    </x:row>
    <x:row r="20">
      <x:c r="A20" s="100" t="str">
        <x:v>cache_policy</x:v>
      </x:c>
      <x:c r="B20" s="100" t="str">
        <x:v>R1_layout</x:v>
      </x:c>
      <x:c r="C20" s="100" t="str">
        <x:v>Prompt布局规范化实验</x:v>
      </x:c>
      <x:c r="D20" s="100" t="str">
        <x:v>Requests</x:v>
      </x:c>
    </x:row>
    <x:row r="21">
      <x:c r="A21" s="100" t="str">
        <x:v>cache_policy</x:v>
      </x:c>
      <x:c r="B21" s="100" t="str">
        <x:v>R2_research</x:v>
      </x:c>
      <x:c r="C21" s="100" t="str">
        <x:v>非前缀/低精度研究实验</x:v>
      </x:c>
      <x:c r="D21" s="100" t="str">
        <x:v>Requests</x:v>
      </x:c>
    </x:row>
    <x:row r="22">
      <x:c r="A22" s="100" t="str">
        <x:v>cache_state</x:v>
      </x:c>
      <x:c r="B22" s="100" t="str">
        <x:v>cold</x:v>
      </x:c>
      <x:c r="C22" s="100" t="str">
        <x:v>首轮冷启动</x:v>
      </x:c>
      <x:c r="D22" s="100" t="str">
        <x:v>Requests</x:v>
      </x:c>
    </x:row>
    <x:row r="23">
      <x:c r="A23" s="100" t="str">
        <x:v>cache_state</x:v>
      </x:c>
      <x:c r="B23" s="100" t="str">
        <x:v>warm</x:v>
      </x:c>
      <x:c r="C23" s="100" t="str">
        <x:v>已预热但未声明稳态</x:v>
      </x:c>
      <x:c r="D23" s="100" t="str">
        <x:v>Requests</x:v>
      </x:c>
    </x:row>
    <x:row r="24">
      <x:c r="A24" s="100" t="str">
        <x:v>cache_state</x:v>
      </x:c>
      <x:c r="B24" s="100" t="str">
        <x:v>steady</x:v>
      </x:c>
      <x:c r="C24" s="100" t="str">
        <x:v>已达到冻结的稳态条件</x:v>
      </x:c>
      <x:c r="D24" s="100" t="str">
        <x:v>Requests</x:v>
      </x:c>
    </x:row>
    <x:row r="25">
      <x:c r="A25" s="100" t="str">
        <x:v>hit_shape</x:v>
      </x:c>
      <x:c r="B25" s="100" t="str">
        <x:v>full</x:v>
      </x:c>
      <x:c r="C25" s="100" t="str">
        <x:v>完整Prompt前缀命中</x:v>
      </x:c>
      <x:c r="D25" s="100" t="str">
        <x:v>Requests</x:v>
      </x:c>
    </x:row>
    <x:row r="26">
      <x:c r="A26" s="100" t="str">
        <x:v>hit_shape</x:v>
      </x:c>
      <x:c r="B26" s="100" t="str">
        <x:v>partial</x:v>
      </x:c>
      <x:c r="C26" s="100" t="str">
        <x:v>部分Prompt命中</x:v>
      </x:c>
      <x:c r="D26" s="100" t="str">
        <x:v>Requests</x:v>
      </x:c>
    </x:row>
    <x:row r="27">
      <x:c r="A27" s="100" t="str">
        <x:v>hit_shape</x:v>
      </x:c>
      <x:c r="B27" s="100" t="str">
        <x:v>miss</x:v>
      </x:c>
      <x:c r="C27" s="100" t="str">
        <x:v>无逻辑命中</x:v>
      </x:c>
      <x:c r="D27" s="100" t="str">
        <x:v>Requests</x:v>
      </x:c>
    </x:row>
    <x:row r="28">
      <x:c r="A28" s="100" t="str">
        <x:v>hit_shape</x:v>
      </x:c>
      <x:c r="B28" s="100" t="str">
        <x:v>bypass</x:v>
      </x:c>
      <x:c r="C28" s="100" t="str">
        <x:v>策略主动绕过缓存</x:v>
      </x:c>
      <x:c r="D28" s="100" t="str">
        <x:v>Requests</x:v>
      </x:c>
    </x:row>
    <x:row r="29">
      <x:c r="A29" s="100" t="str">
        <x:v>finish_status</x:v>
      </x:c>
      <x:c r="B29" s="100" t="str">
        <x:v>success</x:v>
      </x:c>
      <x:c r="C29" s="100" t="str">
        <x:v>请求成功</x:v>
      </x:c>
      <x:c r="D29" s="100" t="str">
        <x:v>Requests</x:v>
      </x:c>
    </x:row>
    <x:row r="30">
      <x:c r="A30" s="100" t="str">
        <x:v>finish_status</x:v>
      </x:c>
      <x:c r="B30" s="100" t="str">
        <x:v>error</x:v>
      </x:c>
      <x:c r="C30" s="100" t="str">
        <x:v>请求错误</x:v>
      </x:c>
      <x:c r="D30" s="100" t="str">
        <x:v>Requests</x:v>
      </x:c>
    </x:row>
    <x:row r="31">
      <x:c r="A31" s="100" t="str">
        <x:v>finish_status</x:v>
      </x:c>
      <x:c r="B31" s="100" t="str">
        <x:v>timeout</x:v>
      </x:c>
      <x:c r="C31" s="100" t="str">
        <x:v>请求超时</x:v>
      </x:c>
      <x:c r="D31" s="100" t="str">
        <x:v>Requests</x:v>
      </x:c>
    </x:row>
    <x:row r="32">
      <x:c r="A32" s="100" t="str">
        <x:v>finish_status</x:v>
      </x:c>
      <x:c r="B32" s="100" t="str">
        <x:v>cancelled</x:v>
      </x:c>
      <x:c r="C32" s="100" t="str">
        <x:v>请求取消</x:v>
      </x:c>
      <x:c r="D32" s="100" t="str">
        <x:v>Requests</x:v>
      </x:c>
    </x:row>
    <x:row r="33">
      <x:c r="A33" s="100" t="str">
        <x:v>finish_status</x:v>
      </x:c>
      <x:c r="B33" s="100" t="str">
        <x:v>degraded</x:v>
      </x:c>
      <x:c r="C33" s="100" t="str">
        <x:v>请求降级完成</x:v>
      </x:c>
      <x:c r="D33" s="100" t="str">
        <x:v>Requests</x:v>
      </x:c>
    </x:row>
    <x:row r="34">
      <x:c r="A34" s="100" t="str">
        <x:v>component_type</x:v>
      </x:c>
      <x:c r="B34" s="100" t="str">
        <x:v>system</x:v>
      </x:c>
      <x:c r="C34" s="100" t="str">
        <x:v>系统指令</x:v>
      </x:c>
      <x:c r="D34" s="100" t="str">
        <x:v>PromptSegments</x:v>
      </x:c>
    </x:row>
    <x:row r="35">
      <x:c r="A35" s="100" t="str">
        <x:v>component_type</x:v>
      </x:c>
      <x:c r="B35" s="100" t="str">
        <x:v>tool_schema</x:v>
      </x:c>
      <x:c r="C35" s="100" t="str">
        <x:v>工具定义</x:v>
      </x:c>
      <x:c r="D35" s="100" t="str">
        <x:v>PromptSegments</x:v>
      </x:c>
    </x:row>
    <x:row r="36">
      <x:c r="A36" s="100" t="str">
        <x:v>component_type</x:v>
      </x:c>
      <x:c r="B36" s="100" t="str">
        <x:v>agent_rule</x:v>
      </x:c>
      <x:c r="C36" s="100" t="str">
        <x:v>Agent规则</x:v>
      </x:c>
      <x:c r="D36" s="100" t="str">
        <x:v>PromptSegments</x:v>
      </x:c>
    </x:row>
    <x:row r="37">
      <x:c r="A37" s="100" t="str">
        <x:v>component_type</x:v>
      </x:c>
      <x:c r="B37" s="100" t="str">
        <x:v>repo_rule</x:v>
      </x:c>
      <x:c r="C37" s="100" t="str">
        <x:v>仓库规则</x:v>
      </x:c>
      <x:c r="D37" s="100" t="str">
        <x:v>PromptSegments</x:v>
      </x:c>
    </x:row>
    <x:row r="38">
      <x:c r="A38" s="100" t="str">
        <x:v>component_type</x:v>
      </x:c>
      <x:c r="B38" s="100" t="str">
        <x:v>file</x:v>
      </x:c>
      <x:c r="C38" s="100" t="str">
        <x:v>代码文件/片段</x:v>
      </x:c>
      <x:c r="D38" s="100" t="str">
        <x:v>PromptSegments</x:v>
      </x:c>
    </x:row>
    <x:row r="39">
      <x:c r="A39" s="100" t="str">
        <x:v>component_type</x:v>
      </x:c>
      <x:c r="B39" s="100" t="str">
        <x:v>history</x:v>
      </x:c>
      <x:c r="C39" s="100" t="str">
        <x:v>对话历史</x:v>
      </x:c>
      <x:c r="D39" s="100" t="str">
        <x:v>PromptSegments</x:v>
      </x:c>
    </x:row>
    <x:row r="40">
      <x:c r="A40" s="100" t="str">
        <x:v>component_type</x:v>
      </x:c>
      <x:c r="B40" s="100" t="str">
        <x:v>tool_result</x:v>
      </x:c>
      <x:c r="C40" s="100" t="str">
        <x:v>工具输出</x:v>
      </x:c>
      <x:c r="D40" s="100" t="str">
        <x:v>PromptSegments</x:v>
      </x:c>
    </x:row>
    <x:row r="41">
      <x:c r="A41" s="100" t="str">
        <x:v>component_type</x:v>
      </x:c>
      <x:c r="B41" s="100" t="str">
        <x:v>current_task</x:v>
      </x:c>
      <x:c r="C41" s="100" t="str">
        <x:v>本轮任务</x:v>
      </x:c>
      <x:c r="D41" s="100" t="str">
        <x:v>PromptSegments</x:v>
      </x:c>
    </x:row>
    <x:row r="42">
      <x:c r="A42" s="100" t="str">
        <x:v>component_type</x:v>
      </x:c>
      <x:c r="B42" s="100" t="str">
        <x:v>diff</x:v>
      </x:c>
      <x:c r="C42" s="100" t="str">
        <x:v>代码差异</x:v>
      </x:c>
      <x:c r="D42" s="100" t="str">
        <x:v>PromptSegments</x:v>
      </x:c>
    </x:row>
    <x:row r="43">
      <x:c r="A43" s="100" t="str">
        <x:v>component_type</x:v>
      </x:c>
      <x:c r="B43" s="100" t="str">
        <x:v>other</x:v>
      </x:c>
      <x:c r="C43" s="100" t="str">
        <x:v>其他已登记组件</x:v>
      </x:c>
      <x:c r="D43" s="100" t="str">
        <x:v>PromptSegments</x:v>
      </x:c>
    </x:row>
    <x:row r="44">
      <x:c r="A44" s="100" t="str">
        <x:v>stable_scope</x:v>
      </x:c>
      <x:c r="B44" s="100" t="str">
        <x:v>platform</x:v>
      </x:c>
      <x:c r="C44" s="100" t="str">
        <x:v>跨请求平台稳定</x:v>
      </x:c>
      <x:c r="D44" s="100" t="str">
        <x:v>PromptSegments</x:v>
      </x:c>
    </x:row>
    <x:row r="45">
      <x:c r="A45" s="100" t="str">
        <x:v>stable_scope</x:v>
      </x:c>
      <x:c r="B45" s="100" t="str">
        <x:v>agent</x:v>
      </x:c>
      <x:c r="C45" s="100" t="str">
        <x:v>同一Agent配置稳定</x:v>
      </x:c>
      <x:c r="D45" s="100" t="str">
        <x:v>PromptSegments</x:v>
      </x:c>
    </x:row>
    <x:row r="46">
      <x:c r="A46" s="100" t="str">
        <x:v>stable_scope</x:v>
      </x:c>
      <x:c r="B46" s="100" t="str">
        <x:v>repo</x:v>
      </x:c>
      <x:c r="C46" s="100" t="str">
        <x:v>同一仓库稳定</x:v>
      </x:c>
      <x:c r="D46" s="100" t="str">
        <x:v>PromptSegments</x:v>
      </x:c>
    </x:row>
    <x:row r="47">
      <x:c r="A47" s="100" t="str">
        <x:v>stable_scope</x:v>
      </x:c>
      <x:c r="B47" s="100" t="str">
        <x:v>session</x:v>
      </x:c>
      <x:c r="C47" s="100" t="str">
        <x:v>同一会话稳定</x:v>
      </x:c>
      <x:c r="D47" s="100" t="str">
        <x:v>PromptSegments</x:v>
      </x:c>
    </x:row>
    <x:row r="48">
      <x:c r="A48" s="100" t="str">
        <x:v>stable_scope</x:v>
      </x:c>
      <x:c r="B48" s="100" t="str">
        <x:v>task</x:v>
      </x:c>
      <x:c r="C48" s="100" t="str">
        <x:v>同一任务稳定</x:v>
      </x:c>
      <x:c r="D48" s="100" t="str">
        <x:v>PromptSegments</x:v>
      </x:c>
    </x:row>
    <x:row r="49">
      <x:c r="A49" s="100" t="str">
        <x:v>stable_scope</x:v>
      </x:c>
      <x:c r="B49" s="100" t="str">
        <x:v>request</x:v>
      </x:c>
      <x:c r="C49" s="100" t="str">
        <x:v>仅本请求有效</x:v>
      </x:c>
      <x:c r="D49" s="100" t="str">
        <x:v>PromptSegments</x:v>
      </x:c>
    </x:row>
    <x:row r="50">
      <x:c r="A50" s="100" t="str">
        <x:v>sensitivity_class</x:v>
      </x:c>
      <x:c r="B50" s="100" t="str">
        <x:v>public</x:v>
      </x:c>
      <x:c r="C50" s="100" t="str">
        <x:v>公开内容</x:v>
      </x:c>
      <x:c r="D50" s="100" t="str">
        <x:v>PromptSegments</x:v>
      </x:c>
    </x:row>
    <x:row r="51">
      <x:c r="A51" s="100" t="str">
        <x:v>sensitivity_class</x:v>
      </x:c>
      <x:c r="B51" s="100" t="str">
        <x:v>internal</x:v>
      </x:c>
      <x:c r="C51" s="100" t="str">
        <x:v>内部内容</x:v>
      </x:c>
      <x:c r="D51" s="100" t="str">
        <x:v>PromptSegments</x:v>
      </x:c>
    </x:row>
    <x:row r="52">
      <x:c r="A52" s="100" t="str">
        <x:v>sensitivity_class</x:v>
      </x:c>
      <x:c r="B52" s="100" t="str">
        <x:v>confidential</x:v>
      </x:c>
      <x:c r="C52" s="100" t="str">
        <x:v>机密内容</x:v>
      </x:c>
      <x:c r="D52" s="100" t="str">
        <x:v>PromptSegments</x:v>
      </x:c>
    </x:row>
    <x:row r="53">
      <x:c r="A53" s="100" t="str">
        <x:v>sensitivity_class</x:v>
      </x:c>
      <x:c r="B53" s="100" t="str">
        <x:v>restricted</x:v>
      </x:c>
      <x:c r="C53" s="100" t="str">
        <x:v>受限内容</x:v>
      </x:c>
      <x:c r="D53" s="100" t="str">
        <x:v>PromptSegments</x:v>
      </x:c>
    </x:row>
    <x:row r="54">
      <x:c r="A54" s="100" t="str">
        <x:v>cache_operation</x:v>
      </x:c>
      <x:c r="B54" s="100" t="str">
        <x:v>lookup</x:v>
      </x:c>
      <x:c r="C54" s="100" t="str">
        <x:v>缓存查找</x:v>
      </x:c>
      <x:c r="D54" s="100" t="str">
        <x:v>CacheEvents</x:v>
      </x:c>
    </x:row>
    <x:row r="55">
      <x:c r="A55" s="100" t="str">
        <x:v>cache_operation</x:v>
      </x:c>
      <x:c r="B55" s="100" t="str">
        <x:v>read</x:v>
      </x:c>
      <x:c r="C55" s="100" t="str">
        <x:v>缓存读取</x:v>
      </x:c>
      <x:c r="D55" s="100" t="str">
        <x:v>CacheEvents</x:v>
      </x:c>
    </x:row>
    <x:row r="56">
      <x:c r="A56" s="100" t="str">
        <x:v>cache_operation</x:v>
      </x:c>
      <x:c r="B56" s="100" t="str">
        <x:v>write</x:v>
      </x:c>
      <x:c r="C56" s="100" t="str">
        <x:v>缓存写入</x:v>
      </x:c>
      <x:c r="D56" s="100" t="str">
        <x:v>CacheEvents</x:v>
      </x:c>
    </x:row>
    <x:row r="57">
      <x:c r="A57" s="100" t="str">
        <x:v>cache_operation</x:v>
      </x:c>
      <x:c r="B57" s="100" t="str">
        <x:v>prefetch</x:v>
      </x:c>
      <x:c r="C57" s="100" t="str">
        <x:v>缓存预取</x:v>
      </x:c>
      <x:c r="D57" s="100" t="str">
        <x:v>CacheEvents</x:v>
      </x:c>
    </x:row>
    <x:row r="58">
      <x:c r="A58" s="100" t="str">
        <x:v>cache_operation</x:v>
      </x:c>
      <x:c r="B58" s="100" t="str">
        <x:v>evict</x:v>
      </x:c>
      <x:c r="C58" s="100" t="str">
        <x:v>缓存淘汰</x:v>
      </x:c>
      <x:c r="D58" s="100" t="str">
        <x:v>CacheEvents</x:v>
      </x:c>
    </x:row>
    <x:row r="59">
      <x:c r="A59" s="100" t="str">
        <x:v>cache_operation</x:v>
      </x:c>
      <x:c r="B59" s="100" t="str">
        <x:v>bypass</x:v>
      </x:c>
      <x:c r="C59" s="100" t="str">
        <x:v>缓存绕过</x:v>
      </x:c>
      <x:c r="D59" s="100" t="str">
        <x:v>CacheEvents</x:v>
      </x:c>
    </x:row>
    <x:row r="60">
      <x:c r="A60" s="100" t="str">
        <x:v>cache_tier</x:v>
      </x:c>
      <x:c r="B60" s="100" t="str">
        <x:v>HBM</x:v>
      </x:c>
      <x:c r="C60" s="100" t="str">
        <x:v>GPU显存</x:v>
      </x:c>
      <x:c r="D60" s="100" t="str">
        <x:v>CacheEvents</x:v>
      </x:c>
    </x:row>
    <x:row r="61">
      <x:c r="A61" s="100" t="str">
        <x:v>cache_tier</x:v>
      </x:c>
      <x:c r="B61" s="100" t="str">
        <x:v>DRAM</x:v>
      </x:c>
      <x:c r="C61" s="100" t="str">
        <x:v>CPU内存</x:v>
      </x:c>
      <x:c r="D61" s="100" t="str">
        <x:v>CacheEvents</x:v>
      </x:c>
    </x:row>
    <x:row r="62">
      <x:c r="A62" s="100" t="str">
        <x:v>cache_tier</x:v>
      </x:c>
      <x:c r="B62" s="100" t="str">
        <x:v>SSD</x:v>
      </x:c>
      <x:c r="C62" s="100" t="str">
        <x:v>本地NVMe/SSD</x:v>
      </x:c>
      <x:c r="D62" s="100" t="str">
        <x:v>CacheEvents</x:v>
      </x:c>
    </x:row>
    <x:row r="63">
      <x:c r="A63" s="100" t="str">
        <x:v>cache_tier</x:v>
      </x:c>
      <x:c r="B63" s="100" t="str">
        <x:v>REMOTE</x:v>
      </x:c>
      <x:c r="C63" s="100" t="str">
        <x:v>远端存储</x:v>
      </x:c>
      <x:c r="D63" s="100" t="str">
        <x:v>CacheEvents</x:v>
      </x:c>
    </x:row>
    <x:row r="64">
      <x:c r="A64" s="100" t="str">
        <x:v>cache_tier</x:v>
      </x:c>
      <x:c r="B64" s="100" t="str">
        <x:v>NONE</x:v>
      </x:c>
      <x:c r="C64" s="100" t="str">
        <x:v>无缓存层</x:v>
      </x:c>
      <x:c r="D64" s="100" t="str">
        <x:v>CacheEvents</x:v>
      </x:c>
    </x:row>
    <x:row r="65">
      <x:c r="A65" s="100" t="str">
        <x:v>hit_status</x:v>
      </x:c>
      <x:c r="B65" s="100" t="str">
        <x:v>hit</x:v>
      </x:c>
      <x:c r="C65" s="100" t="str">
        <x:v>完全命中该事件块</x:v>
      </x:c>
      <x:c r="D65" s="100" t="str">
        <x:v>CacheEvents</x:v>
      </x:c>
    </x:row>
    <x:row r="66">
      <x:c r="A66" s="100" t="str">
        <x:v>hit_status</x:v>
      </x:c>
      <x:c r="B66" s="100" t="str">
        <x:v>miss</x:v>
      </x:c>
      <x:c r="C66" s="100" t="str">
        <x:v>未命中</x:v>
      </x:c>
      <x:c r="D66" s="100" t="str">
        <x:v>CacheEvents</x:v>
      </x:c>
    </x:row>
    <x:row r="67">
      <x:c r="A67" s="100" t="str">
        <x:v>hit_status</x:v>
      </x:c>
      <x:c r="B67" s="100" t="str">
        <x:v>partial</x:v>
      </x:c>
      <x:c r="C67" s="100" t="str">
        <x:v>部分命中</x:v>
      </x:c>
      <x:c r="D67" s="100" t="str">
        <x:v>CacheEvents</x:v>
      </x:c>
    </x:row>
    <x:row r="68">
      <x:c r="A68" s="100" t="str">
        <x:v>hit_status</x:v>
      </x:c>
      <x:c r="B68" s="100" t="str">
        <x:v>bypass</x:v>
      </x:c>
      <x:c r="C68" s="100" t="str">
        <x:v>主动绕过</x:v>
      </x:c>
      <x:c r="D68" s="100" t="str">
        <x:v>CacheEvents</x:v>
      </x:c>
    </x:row>
    <x:row r="69">
      <x:c r="A69" s="100" t="str">
        <x:v>hit_status</x:v>
      </x:c>
      <x:c r="B69" s="100" t="str">
        <x:v>not_applicable</x:v>
      </x:c>
      <x:c r="C69" s="100" t="str">
        <x:v>写入/淘汰等不适用命中</x:v>
      </x:c>
      <x:c r="D69" s="100" t="str">
        <x:v>CacheEvents</x:v>
      </x:c>
    </x:row>
    <x:row r="70">
      <x:c r="A70" s="100" t="str">
        <x:v>step_type</x:v>
      </x:c>
      <x:c r="B70" s="100" t="str">
        <x:v>model_call</x:v>
      </x:c>
      <x:c r="C70" s="100" t="str">
        <x:v>模型调用</x:v>
      </x:c>
      <x:c r="D70" s="100" t="str">
        <x:v>AgentSteps</x:v>
      </x:c>
    </x:row>
    <x:row r="71">
      <x:c r="A71" s="100" t="str">
        <x:v>step_type</x:v>
      </x:c>
      <x:c r="B71" s="100" t="str">
        <x:v>tool_call</x:v>
      </x:c>
      <x:c r="C71" s="100" t="str">
        <x:v>工具调用</x:v>
      </x:c>
      <x:c r="D71" s="100" t="str">
        <x:v>AgentSteps</x:v>
      </x:c>
    </x:row>
    <x:row r="72">
      <x:c r="A72" s="100" t="str">
        <x:v>step_type</x:v>
      </x:c>
      <x:c r="B72" s="100" t="str">
        <x:v>file_read</x:v>
      </x:c>
      <x:c r="C72" s="100" t="str">
        <x:v>文件读取</x:v>
      </x:c>
      <x:c r="D72" s="100" t="str">
        <x:v>AgentSteps</x:v>
      </x:c>
    </x:row>
    <x:row r="73">
      <x:c r="A73" s="100" t="str">
        <x:v>step_type</x:v>
      </x:c>
      <x:c r="B73" s="100" t="str">
        <x:v>file_edit</x:v>
      </x:c>
      <x:c r="C73" s="100" t="str">
        <x:v>文件编辑</x:v>
      </x:c>
      <x:c r="D73" s="100" t="str">
        <x:v>AgentSteps</x:v>
      </x:c>
    </x:row>
    <x:row r="74">
      <x:c r="A74" s="100" t="str">
        <x:v>step_type</x:v>
      </x:c>
      <x:c r="B74" s="100" t="str">
        <x:v>test</x:v>
      </x:c>
      <x:c r="C74" s="100" t="str">
        <x:v>测试执行</x:v>
      </x:c>
      <x:c r="D74" s="100" t="str">
        <x:v>AgentSteps</x:v>
      </x:c>
    </x:row>
    <x:row r="75">
      <x:c r="A75" s="100" t="str">
        <x:v>step_type</x:v>
      </x:c>
      <x:c r="B75" s="100" t="str">
        <x:v>git</x:v>
      </x:c>
      <x:c r="C75" s="100" t="str">
        <x:v>Git操作</x:v>
      </x:c>
      <x:c r="D75" s="100" t="str">
        <x:v>AgentSteps</x:v>
      </x:c>
    </x:row>
    <x:row r="76">
      <x:c r="A76" s="100" t="str">
        <x:v>step_type</x:v>
      </x:c>
      <x:c r="B76" s="100" t="str">
        <x:v>user_interaction</x:v>
      </x:c>
      <x:c r="C76" s="100" t="str">
        <x:v>用户交互</x:v>
      </x:c>
      <x:c r="D76" s="100" t="str">
        <x:v>AgentSteps</x:v>
      </x:c>
    </x:row>
    <x:row r="77">
      <x:c r="A77" s="100" t="str">
        <x:v>step_type</x:v>
      </x:c>
      <x:c r="B77" s="100" t="str">
        <x:v>other</x:v>
      </x:c>
      <x:c r="C77" s="100" t="str">
        <x:v>其他步骤</x:v>
      </x:c>
      <x:c r="D77" s="100" t="str">
        <x:v>AgentSteps</x:v>
      </x:c>
    </x:row>
    <x:row r="78">
      <x:c r="A78" s="100" t="str">
        <x:v>step_status</x:v>
      </x:c>
      <x:c r="B78" s="100" t="str">
        <x:v>success</x:v>
      </x:c>
      <x:c r="C78" s="100" t="str">
        <x:v>步骤成功</x:v>
      </x:c>
      <x:c r="D78" s="100" t="str">
        <x:v>AgentSteps</x:v>
      </x:c>
    </x:row>
    <x:row r="79">
      <x:c r="A79" s="100" t="str">
        <x:v>step_status</x:v>
      </x:c>
      <x:c r="B79" s="100" t="str">
        <x:v>error</x:v>
      </x:c>
      <x:c r="C79" s="100" t="str">
        <x:v>步骤错误</x:v>
      </x:c>
      <x:c r="D79" s="100" t="str">
        <x:v>AgentSteps</x:v>
      </x:c>
    </x:row>
    <x:row r="80">
      <x:c r="A80" s="100" t="str">
        <x:v>step_status</x:v>
      </x:c>
      <x:c r="B80" s="100" t="str">
        <x:v>timeout</x:v>
      </x:c>
      <x:c r="C80" s="100" t="str">
        <x:v>步骤超时</x:v>
      </x:c>
      <x:c r="D80" s="100" t="str">
        <x:v>AgentSteps</x:v>
      </x:c>
    </x:row>
    <x:row r="81">
      <x:c r="A81" s="100" t="str">
        <x:v>step_status</x:v>
      </x:c>
      <x:c r="B81" s="100" t="str">
        <x:v>cancelled</x:v>
      </x:c>
      <x:c r="C81" s="100" t="str">
        <x:v>步骤取消</x:v>
      </x:c>
      <x:c r="D81" s="100" t="str">
        <x:v>AgentSteps</x:v>
      </x:c>
    </x:row>
    <x:row r="82">
      <x:c r="A82" s="100" t="str">
        <x:v>change_type</x:v>
      </x:c>
      <x:c r="B82" s="100" t="str">
        <x:v>add</x:v>
      </x:c>
      <x:c r="C82" s="100" t="str">
        <x:v>新增文件</x:v>
      </x:c>
      <x:c r="D82" s="100" t="str">
        <x:v>FileChanges</x:v>
      </x:c>
    </x:row>
    <x:row r="83">
      <x:c r="A83" s="100" t="str">
        <x:v>change_type</x:v>
      </x:c>
      <x:c r="B83" s="100" t="str">
        <x:v>modify</x:v>
      </x:c>
      <x:c r="C83" s="100" t="str">
        <x:v>修改文件</x:v>
      </x:c>
      <x:c r="D83" s="100" t="str">
        <x:v>FileChanges</x:v>
      </x:c>
    </x:row>
    <x:row r="84">
      <x:c r="A84" s="100" t="str">
        <x:v>change_type</x:v>
      </x:c>
      <x:c r="B84" s="100" t="str">
        <x:v>delete</x:v>
      </x:c>
      <x:c r="C84" s="100" t="str">
        <x:v>删除文件</x:v>
      </x:c>
      <x:c r="D84" s="100" t="str">
        <x:v>FileChanges</x:v>
      </x:c>
    </x:row>
    <x:row r="85">
      <x:c r="A85" s="100" t="str">
        <x:v>change_type</x:v>
      </x:c>
      <x:c r="B85" s="100" t="str">
        <x:v>rename</x:v>
      </x:c>
      <x:c r="C85" s="100" t="str">
        <x:v>重命名文件</x:v>
      </x:c>
      <x:c r="D85" s="100" t="str">
        <x:v>FileChanges</x:v>
      </x:c>
    </x:row>
    <x:row r="86">
      <x:c r="A86" s="100" t="str">
        <x:v>attention_type</x:v>
      </x:c>
      <x:c r="B86" s="100" t="str">
        <x:v>GQA</x:v>
      </x:c>
      <x:c r="C86" s="100" t="str">
        <x:v>Grouped-Query Attention</x:v>
      </x:c>
      <x:c r="D86" s="100" t="str">
        <x:v>RunConfig</x:v>
      </x:c>
    </x:row>
    <x:row r="87">
      <x:c r="A87" s="100" t="str">
        <x:v>attention_type</x:v>
      </x:c>
      <x:c r="B87" s="100" t="str">
        <x:v>MLA</x:v>
      </x:c>
      <x:c r="C87" s="100" t="str">
        <x:v>Multi-head Latent Attention</x:v>
      </x:c>
      <x:c r="D87" s="100" t="str">
        <x:v>RunConfig</x:v>
      </x:c>
    </x:row>
    <x:row r="88">
      <x:c r="A88" s="100" t="str">
        <x:v>attention_type</x:v>
      </x:c>
      <x:c r="B88" s="100" t="str">
        <x:v>DSA</x:v>
      </x:c>
      <x:c r="C88" s="100" t="str">
        <x:v>DeepSeek Sparse Attention</x:v>
      </x:c>
      <x:c r="D88" s="100" t="str">
        <x:v>RunConfig</x:v>
      </x:c>
    </x:row>
    <x:row r="89">
      <x:c r="A89" s="100" t="str">
        <x:v>attention_type</x:v>
      </x:c>
      <x:c r="B89" s="100" t="str">
        <x:v>HYBRID</x:v>
      </x:c>
      <x:c r="C89" s="100" t="str">
        <x:v>项目方定义的混合架构</x:v>
      </x:c>
      <x:c r="D89" s="100" t="str">
        <x:v>RunConfig</x:v>
      </x:c>
    </x:row>
    <x:row r="90">
      <x:c r="A90" s="100" t="str">
        <x:v>attention_type</x:v>
      </x:c>
      <x:c r="B90" s="100" t="str">
        <x:v>OTHER</x:v>
      </x:c>
      <x:c r="C90" s="100" t="str">
        <x:v>其他已登记架构</x:v>
      </x:c>
      <x:c r="D90" s="100" t="str">
        <x:v>RunConfig</x:v>
      </x:c>
    </x:row>
    <x:row r="91">
      <x:c r="A91" s="100" t="str">
        <x:v>kv_dtype</x:v>
      </x:c>
      <x:c r="B91" s="100" t="str">
        <x:v>FP16</x:v>
      </x:c>
      <x:c r="C91" s="100" t="str">
        <x:v>16位浮点</x:v>
      </x:c>
      <x:c r="D91" s="100" t="str">
        <x:v>RunConfig</x:v>
      </x:c>
    </x:row>
    <x:row r="92">
      <x:c r="A92" s="100" t="str">
        <x:v>kv_dtype</x:v>
      </x:c>
      <x:c r="B92" s="100" t="str">
        <x:v>BF16</x:v>
      </x:c>
      <x:c r="C92" s="100" t="str">
        <x:v>bfloat16</x:v>
      </x:c>
      <x:c r="D92" s="100" t="str">
        <x:v>RunConfig</x:v>
      </x:c>
    </x:row>
    <x:row r="93">
      <x:c r="A93" s="100" t="str">
        <x:v>kv_dtype</x:v>
      </x:c>
      <x:c r="B93" s="100" t="str">
        <x:v>FP8</x:v>
      </x:c>
      <x:c r="C93" s="100" t="str">
        <x:v>8位浮点</x:v>
      </x:c>
      <x:c r="D93" s="100" t="str">
        <x:v>RunConfig</x:v>
      </x:c>
    </x:row>
    <x:row r="94">
      <x:c r="A94" s="100" t="str">
        <x:v>kv_dtype</x:v>
      </x:c>
      <x:c r="B94" s="100" t="str">
        <x:v>FP4</x:v>
      </x:c>
      <x:c r="C94" s="100" t="str">
        <x:v>4位浮点</x:v>
      </x:c>
      <x:c r="D94" s="100" t="str">
        <x:v>RunConfig</x:v>
      </x:c>
    </x:row>
    <x:row r="95">
      <x:c r="A95" s="100" t="str">
        <x:v>kv_dtype</x:v>
      </x:c>
      <x:c r="B95" s="100" t="str">
        <x:v>INT8</x:v>
      </x:c>
      <x:c r="C95" s="100" t="str">
        <x:v>8位整数</x:v>
      </x:c>
      <x:c r="D95" s="100" t="str">
        <x:v>RunConfig</x:v>
      </x:c>
    </x:row>
    <x:row r="96">
      <x:c r="A96" s="100" t="str">
        <x:v>kv_dtype</x:v>
      </x:c>
      <x:c r="B96" s="100" t="str">
        <x:v>INT4</x:v>
      </x:c>
      <x:c r="C96" s="100" t="str">
        <x:v>4位整数</x:v>
      </x:c>
      <x:c r="D96" s="100" t="str">
        <x:v>RunConfig</x:v>
      </x:c>
    </x:row>
    <x:row r="97">
      <x:c r="A97" s="100" t="str">
        <x:v>kv_dtype</x:v>
      </x:c>
      <x:c r="B97" s="100" t="str">
        <x:v>OTHER</x:v>
      </x:c>
      <x:c r="C97" s="100" t="str">
        <x:v>其他已登记格式</x:v>
      </x:c>
      <x:c r="D97" s="100" t="str">
        <x:v>RunConfig</x:v>
      </x:c>
    </x:row>
    <x:row r="98">
      <x:c r="A98" s="100" t="str">
        <x:v>privacy_mode</x:v>
      </x:c>
      <x:c r="B98" s="100" t="str">
        <x:v>M0_metadata</x:v>
      </x:c>
      <x:c r="C98" s="100" t="str">
        <x:v>只保存元数据</x:v>
      </x:c>
      <x:c r="D98" s="100" t="str">
        <x:v>RunConfig</x:v>
      </x:c>
    </x:row>
    <x:row r="99">
      <x:c r="A99" s="100" t="str">
        <x:v>privacy_mode</x:v>
      </x:c>
      <x:c r="B99" s="100" t="str">
        <x:v>M1_controlled_token</x:v>
      </x:c>
      <x:c r="C99" s="100" t="str">
        <x:v>受控Token与引用</x:v>
      </x:c>
      <x:c r="D99" s="100" t="str">
        <x:v>RunConfig</x:v>
      </x:c>
    </x:row>
    <x:row r="100">
      <x:c r="A100" s="100" t="str">
        <x:v>privacy_mode</x:v>
      </x:c>
      <x:c r="B100" s="100" t="str">
        <x:v>M2_secure_replay</x:v>
      </x:c>
      <x:c r="C100" s="100" t="str">
        <x:v>隔离环境完整回放</x:v>
      </x:c>
      <x:c r="D100" s="100" t="str">
        <x:v>RunConfig</x:v>
      </x:c>
    </x:row>
    <x:row r="101">
      <x:c r="A101" s="100" t="str">
        <x:v>boolean</x:v>
      </x:c>
      <x:c r="B101" s="100" t="str">
        <x:v>0</x:v>
      </x:c>
      <x:c r="C101" s="100" t="str">
        <x:v>否</x:v>
      </x:c>
      <x:c r="D101" s="100" t="str">
        <x:v>flag fields</x:v>
      </x:c>
    </x:row>
    <x:row r="102">
      <x:c r="A102" s="100" t="str">
        <x:v>boolean</x:v>
      </x:c>
      <x:c r="B102" s="100" t="str">
        <x:v>1</x:v>
      </x:c>
      <x:c r="C102" s="100" t="str">
        <x:v>是</x:v>
      </x:c>
      <x:c r="D102" s="100" t="str">
        <x:v>flag fields</x:v>
      </x:c>
    </x:row>
  </x:sheetData>
  <x:pageMargins left="0.7" right="0.7" top="0.75" bottom="0.75" header="0.3" footer="0.3"/>
  <x:tableParts count="1">
    <x:tablePart xmlns:r="http://schemas.openxmlformats.org/officeDocument/2006/relationships" r:id="R46dd431a4e434631"/>
  </x:tableParts>
</x:worksheet>
</file>